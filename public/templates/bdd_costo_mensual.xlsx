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A52971AA-FCC7-45A3-8E8B-142412D791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STO POR CAMPO" sheetId="1" r:id="rId1"/>
    <sheet name="COSTO LABORAL PLANILLA" sheetId="3" r:id="rId2"/>
    <sheet name="Hoja1" sheetId="5" r:id="rId3"/>
    <sheet name="COSTO CUADRILLA BONOS" sheetId="4" r:id="rId4"/>
    <sheet name="COSTO TOTAL" sheetId="2" r:id="rId5"/>
  </sheets>
  <definedNames>
    <definedName name="_xlnm._FilterDatabase" localSheetId="0" hidden="1">'COSTO POR CAMPO'!$A$4:$M$4</definedName>
  </definedNames>
  <calcPr calcId="191029"/>
</workbook>
</file>

<file path=xl/calcChain.xml><?xml version="1.0" encoding="utf-8"?>
<calcChain xmlns="http://schemas.openxmlformats.org/spreadsheetml/2006/main">
  <c r="D5" i="5" l="1"/>
  <c r="C7" i="2"/>
  <c r="D7" i="2"/>
  <c r="F7" i="2"/>
  <c r="G7" i="2"/>
  <c r="H7" i="2"/>
  <c r="J7" i="2"/>
  <c r="K6" i="2"/>
  <c r="E5" i="3"/>
  <c r="C5" i="3"/>
  <c r="B7" i="2" l="1"/>
  <c r="K5" i="2"/>
  <c r="K7" i="2" s="1"/>
</calcChain>
</file>

<file path=xl/sharedStrings.xml><?xml version="1.0" encoding="utf-8"?>
<sst xmlns="http://schemas.openxmlformats.org/spreadsheetml/2006/main" count="79" uniqueCount="63">
  <si>
    <t>Área</t>
  </si>
  <si>
    <t>FECHA</t>
  </si>
  <si>
    <t>CAMPAÑA</t>
  </si>
  <si>
    <t>TRABAJADOR</t>
  </si>
  <si>
    <t xml:space="preserve">MANO DE OBRA </t>
  </si>
  <si>
    <t>CAMPO</t>
  </si>
  <si>
    <t>TIPO DE GASTO</t>
  </si>
  <si>
    <t>DETALLE</t>
  </si>
  <si>
    <t>HORAS</t>
  </si>
  <si>
    <t>CANTIDAD</t>
  </si>
  <si>
    <t>PROVEEDOR</t>
  </si>
  <si>
    <t>N° DOCUMENTO</t>
  </si>
  <si>
    <t>COSTO</t>
  </si>
  <si>
    <t>OBSERVACIÓN</t>
  </si>
  <si>
    <t>DETALLE / LABOR</t>
  </si>
  <si>
    <t>INSUMO / COMPRA</t>
  </si>
  <si>
    <t>CANT. JORNALES</t>
  </si>
  <si>
    <t>NOMBRE EMPLEADO</t>
  </si>
  <si>
    <t>SUELDO PAGADO</t>
  </si>
  <si>
    <t>APORTES DEL TRABAJADOR</t>
  </si>
  <si>
    <t>APORTES DEL EMPLEADOR</t>
  </si>
  <si>
    <t>COSTO TOTAL EMPRESA</t>
  </si>
  <si>
    <t>N°</t>
  </si>
  <si>
    <t>REPORTE DE COSTOS DE PLANILLA MENSUAL</t>
  </si>
  <si>
    <t>Resumen de remuneraciones y aporte del personal</t>
  </si>
  <si>
    <t>Mes - Año Contable:</t>
  </si>
  <si>
    <t>COSTO TOTAL PLANILLA</t>
  </si>
  <si>
    <t>TOTAL EMPLEADOS</t>
  </si>
  <si>
    <t>FECHA DE GENERACIÓN</t>
  </si>
  <si>
    <t>RESUMEN CAMPO MENSUAL</t>
  </si>
  <si>
    <t>MES</t>
  </si>
  <si>
    <t>PLANILLA</t>
  </si>
  <si>
    <t>CUADRILLA</t>
  </si>
  <si>
    <t>MAQUINARIA</t>
  </si>
  <si>
    <t>PESTICIDAS</t>
  </si>
  <si>
    <t>FERTILIZANTES</t>
  </si>
  <si>
    <t>GENERALES</t>
  </si>
  <si>
    <t>COSTO POR CAMPO TOTALIZADO</t>
  </si>
  <si>
    <t>COSTO PAGADO</t>
  </si>
  <si>
    <t>DIFERENCIAL</t>
  </si>
  <si>
    <t>REPORTE DE COSTOS MENSUAL</t>
  </si>
  <si>
    <t>Resumen de costos totalizados</t>
  </si>
  <si>
    <t>COSTO TOTAL</t>
  </si>
  <si>
    <t>PLANILLA BONO PRODUCTIVIDAD</t>
  </si>
  <si>
    <t>BONO PRODUCTIVIDAD</t>
  </si>
  <si>
    <t>SERVICIOS CAMPOS</t>
  </si>
  <si>
    <t>REPORTE DE COSTOS DE BONOS DE CUADRILLA</t>
  </si>
  <si>
    <t>Resumen de bonos por fecha</t>
  </si>
  <si>
    <t>COSTO TOTAL CUADRILLA</t>
  </si>
  <si>
    <t>TOTAL CUADRILLEROS</t>
  </si>
  <si>
    <t>ENERO 2026</t>
  </si>
  <si>
    <t>28/09/2026 15:48:27</t>
  </si>
  <si>
    <t>CUADRILLERO</t>
  </si>
  <si>
    <t>LABOR</t>
  </si>
  <si>
    <t>METODO</t>
  </si>
  <si>
    <t>CUADRILLA BONO PRODUCTIVIDAD</t>
  </si>
  <si>
    <t>TOTAL KG</t>
  </si>
  <si>
    <t>REPORTE DE COSTOS DE CUADRILLA</t>
  </si>
  <si>
    <t>Resumen de costos por fecha</t>
  </si>
  <si>
    <t>28/09/2026 16:31:52</t>
  </si>
  <si>
    <t>JORNAL</t>
  </si>
  <si>
    <t>BONO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</si>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</sst>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0.0000"/>
  </numFmts>
  <fonts count="16" x14ac:knownFonts="1">
    <font>
      <sz val="11"/>
      <color rgb="FF000000"/>
      <name val="Calibri"/>
      <scheme val="minor"/>
    </font>
    <font>
      <b/>
      <sz val="14"/>
      <color theme="4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8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1F4E86"/>
      <name val="Calibri"/>
      <family val="2"/>
      <scheme val="minor"/>
    </font>
    <font>
      <b/>
      <sz val="10"/>
      <color rgb="FF1F4E86"/>
      <name val="Calibri"/>
      <family val="2"/>
      <scheme val="minor"/>
    </font>
    <font>
      <b/>
      <sz val="18"/>
      <color rgb="FFFFFFFF"/>
      <name val="Calibri"/>
      <scheme val="minor"/>
    </font>
    <font>
      <sz val="14"/>
      <color rgb="FFFFFFFF"/>
      <name val="Calibri"/>
      <scheme val="minor"/>
    </font>
    <font>
      <b/>
      <sz val="10"/>
      <color rgb="FF1F4E86"/>
      <name val="Calibri"/>
      <scheme val="minor"/>
    </font>
    <font>
      <b/>
      <sz val="12"/>
      <color rgb="FF1F4E86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DEDED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1F4E86"/>
        <bgColor indexed="64"/>
      </patternFill>
    </fill>
    <fill>
      <patternFill patternType="solid">
        <fgColor rgb="FFEDF3F9"/>
        <bgColor indexed="64"/>
      </patternFill>
    </fill>
    <fill>
      <patternFill patternType="solid">
        <fgColor rgb="FF1F4E86"/>
        <bgColor rgb="FFFFFFFF"/>
      </patternFill>
    </fill>
    <fill>
      <patternFill patternType="solid">
        <fgColor rgb="FFEDF3F9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86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5" fillId="0" borderId="0" xfId="0" applyFont="1"/>
    <xf numFmtId="4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2" fontId="2" fillId="4" borderId="4" xfId="0" applyNumberFormat="1" applyFont="1" applyFill="1" applyBorder="1" applyAlignment="1" applyProtection="1">
      <alignment horizontal="center"/>
      <protection locked="0"/>
    </xf>
    <xf numFmtId="2" fontId="2" fillId="0" borderId="4" xfId="0" applyNumberFormat="1" applyFont="1" applyBorder="1" applyAlignment="1" applyProtection="1">
      <alignment horizontal="center"/>
      <protection locked="0"/>
    </xf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 applyProtection="1">
      <alignment horizontal="center"/>
      <protection locked="0"/>
    </xf>
    <xf numFmtId="2" fontId="2" fillId="3" borderId="4" xfId="0" applyNumberFormat="1" applyFont="1" applyFill="1" applyBorder="1" applyAlignment="1" applyProtection="1">
      <alignment horizontal="center"/>
      <protection locked="0"/>
    </xf>
    <xf numFmtId="164" fontId="2" fillId="0" borderId="5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center"/>
      <protection locked="0"/>
    </xf>
    <xf numFmtId="44" fontId="0" fillId="0" borderId="0" xfId="1" applyFont="1" applyAlignment="1">
      <alignment horizontal="right" wrapText="1"/>
    </xf>
    <xf numFmtId="0" fontId="0" fillId="0" borderId="0" xfId="1" applyNumberFormat="1" applyFont="1" applyAlignment="1">
      <alignment horizontal="center" wrapText="1"/>
    </xf>
    <xf numFmtId="0" fontId="0" fillId="0" borderId="0" xfId="0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11" fillId="8" borderId="6" xfId="1" applyFont="1" applyFill="1" applyBorder="1" applyAlignment="1">
      <alignment horizontal="center" wrapText="1"/>
    </xf>
    <xf numFmtId="22" fontId="10" fillId="8" borderId="7" xfId="1" applyNumberFormat="1" applyFont="1" applyFill="1" applyBorder="1" applyAlignment="1">
      <alignment horizontal="center" vertical="top" wrapText="1"/>
    </xf>
    <xf numFmtId="0" fontId="10" fillId="8" borderId="7" xfId="1" applyNumberFormat="1" applyFont="1" applyFill="1" applyBorder="1" applyAlignment="1">
      <alignment horizontal="center" vertical="top" wrapText="1"/>
    </xf>
    <xf numFmtId="0" fontId="7" fillId="0" borderId="0" xfId="0" applyFont="1"/>
    <xf numFmtId="44" fontId="0" fillId="0" borderId="0" xfId="1" applyFont="1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7" fillId="0" borderId="0" xfId="1" applyFont="1" applyAlignment="1">
      <alignment horizontal="right" wrapText="1"/>
    </xf>
    <xf numFmtId="44" fontId="0" fillId="0" borderId="0" xfId="0" applyNumberFormat="1" applyAlignment="1">
      <alignment horizontal="right" wrapText="1"/>
    </xf>
    <xf numFmtId="44" fontId="14" fillId="10" borderId="14" xfId="0" applyNumberFormat="1" applyFont="1" applyFill="1" applyBorder="1" applyAlignment="1">
      <alignment horizontal="center" wrapText="1"/>
    </xf>
    <xf numFmtId="0" fontId="15" fillId="10" borderId="17" xfId="0" applyFont="1" applyFill="1" applyBorder="1" applyAlignment="1">
      <alignment horizontal="center" vertical="top" wrapText="1"/>
    </xf>
    <xf numFmtId="22" fontId="15" fillId="10" borderId="17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4" fontId="6" fillId="5" borderId="2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2" fontId="6" fillId="6" borderId="2" xfId="0" applyNumberFormat="1" applyFont="1" applyFill="1" applyBorder="1" applyAlignment="1">
      <alignment horizontal="center" vertical="center" wrapText="1"/>
    </xf>
    <xf numFmtId="2" fontId="6" fillId="6" borderId="3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5" borderId="1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44" fontId="9" fillId="7" borderId="0" xfId="0" applyNumberFormat="1" applyFont="1" applyFill="1" applyAlignment="1">
      <alignment horizontal="center" vertical="top"/>
    </xf>
    <xf numFmtId="0" fontId="9" fillId="7" borderId="0" xfId="0" applyFont="1" applyFill="1" applyAlignment="1">
      <alignment horizontal="center" vertical="top"/>
    </xf>
    <xf numFmtId="0" fontId="11" fillId="8" borderId="8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17" fontId="10" fillId="8" borderId="10" xfId="0" quotePrefix="1" applyNumberFormat="1" applyFont="1" applyFill="1" applyBorder="1" applyAlignment="1">
      <alignment horizontal="center" vertical="top"/>
    </xf>
    <xf numFmtId="0" fontId="10" fillId="8" borderId="11" xfId="0" applyFont="1" applyFill="1" applyBorder="1" applyAlignment="1">
      <alignment horizontal="center" vertical="top"/>
    </xf>
    <xf numFmtId="44" fontId="11" fillId="8" borderId="8" xfId="1" applyFont="1" applyFill="1" applyBorder="1" applyAlignment="1">
      <alignment horizontal="center" wrapText="1"/>
    </xf>
    <xf numFmtId="44" fontId="11" fillId="8" borderId="9" xfId="1" applyFont="1" applyFill="1" applyBorder="1" applyAlignment="1">
      <alignment horizontal="center" wrapText="1"/>
    </xf>
    <xf numFmtId="4" fontId="10" fillId="8" borderId="10" xfId="1" applyNumberFormat="1" applyFont="1" applyFill="1" applyBorder="1" applyAlignment="1">
      <alignment horizontal="center" vertical="top" wrapText="1"/>
    </xf>
    <xf numFmtId="4" fontId="10" fillId="8" borderId="11" xfId="1" applyNumberFormat="1" applyFont="1" applyFill="1" applyBorder="1" applyAlignment="1">
      <alignment horizontal="center" vertical="top" wrapText="1"/>
    </xf>
    <xf numFmtId="0" fontId="12" fillId="9" borderId="0" xfId="0" applyFont="1" applyFill="1" applyAlignment="1">
      <alignment horizontal="center"/>
    </xf>
    <xf numFmtId="44" fontId="13" fillId="9" borderId="0" xfId="0" applyNumberFormat="1" applyFont="1" applyFill="1" applyAlignment="1">
      <alignment horizontal="center" vertical="top"/>
    </xf>
    <xf numFmtId="0" fontId="13" fillId="9" borderId="0" xfId="0" applyFont="1" applyFill="1" applyAlignment="1">
      <alignment horizontal="center" vertical="top"/>
    </xf>
    <xf numFmtId="0" fontId="14" fillId="10" borderId="12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4" fillId="10" borderId="13" xfId="0" applyFont="1" applyFill="1" applyBorder="1" applyAlignment="1">
      <alignment horizontal="center"/>
    </xf>
    <xf numFmtId="44" fontId="14" fillId="10" borderId="12" xfId="0" applyNumberFormat="1" applyFont="1" applyFill="1" applyBorder="1" applyAlignment="1">
      <alignment horizontal="center" wrapText="1"/>
    </xf>
    <xf numFmtId="44" fontId="14" fillId="10" borderId="13" xfId="0" applyNumberFormat="1" applyFont="1" applyFill="1" applyBorder="1" applyAlignment="1">
      <alignment horizontal="center" wrapText="1"/>
    </xf>
    <xf numFmtId="17" fontId="15" fillId="10" borderId="15" xfId="0" quotePrefix="1" applyNumberFormat="1" applyFont="1" applyFill="1" applyBorder="1" applyAlignment="1">
      <alignment horizontal="center" vertical="top"/>
    </xf>
    <xf numFmtId="17" fontId="15" fillId="10" borderId="19" xfId="0" quotePrefix="1" applyNumberFormat="1" applyFont="1" applyFill="1" applyBorder="1" applyAlignment="1">
      <alignment horizontal="center" vertical="top"/>
    </xf>
    <xf numFmtId="0" fontId="15" fillId="10" borderId="16" xfId="0" applyFont="1" applyFill="1" applyBorder="1" applyAlignment="1">
      <alignment horizontal="center" vertical="top"/>
    </xf>
    <xf numFmtId="4" fontId="15" fillId="10" borderId="15" xfId="0" applyNumberFormat="1" applyFont="1" applyFill="1" applyBorder="1" applyAlignment="1">
      <alignment horizontal="center" vertical="top" wrapText="1"/>
    </xf>
    <xf numFmtId="4" fontId="15" fillId="10" borderId="16" xfId="0" applyNumberFormat="1" applyFont="1" applyFill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1F4E86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1F4E86"/>
        </patternFill>
      </fill>
      <alignment vertical="center" textRotation="0" indent="0" justifyLastLine="0" shrinkToFit="0" readingOrder="0"/>
    </dxf>
  </dxfs>
  <tableStyles count="0" defaultTableStyle="TableStyleMedium9"/>
  <colors>
    <mruColors>
      <color rgb="FF1F4E86"/>
      <color rgb="FFEDF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0</xdr:row>
      <xdr:rowOff>33337</xdr:rowOff>
    </xdr:from>
    <xdr:to>
      <xdr:col>1</xdr:col>
      <xdr:colOff>752475</xdr:colOff>
      <xdr:row>1</xdr:row>
      <xdr:rowOff>366712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998C87-5CE2-CA38-96DB-D6DB1D8E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3" y="33337"/>
          <a:ext cx="108585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152400</xdr:rowOff>
    </xdr:from>
    <xdr:to>
      <xdr:col>1</xdr:col>
      <xdr:colOff>213360</xdr:colOff>
      <xdr:row>1</xdr:row>
      <xdr:rowOff>281940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46C752EC-0E9F-4A11-8322-E91E7F0D0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52400"/>
          <a:ext cx="542925" cy="518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152400</xdr:rowOff>
    </xdr:from>
    <xdr:to>
      <xdr:col>1</xdr:col>
      <xdr:colOff>487680</xdr:colOff>
      <xdr:row>1</xdr:row>
      <xdr:rowOff>342900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EBD43DA8-CC2E-490A-B5AA-493DD0F8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52400"/>
          <a:ext cx="817245" cy="5791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C6DC4-33E2-4EB2-B71A-B63A2C67D21D}" name="tblCostoPlanillaMensual" displayName="tblCostoPlanillaMensual" ref="A7:G8" insertRow="1" totalsRowShown="0" headerRowDxfId="30">
  <autoFilter ref="A7:G8" xr:uid="{275C6DC4-33E2-4EB2-B71A-B63A2C67D21D}"/>
  <tableColumns count="7">
    <tableColumn id="1" xr3:uid="{C159FE92-5B01-449F-AE71-631BD254E04E}" name="N°" dataDxfId="29"/>
    <tableColumn id="2" xr3:uid="{9B89B643-F63A-4A0F-AE6A-F929AFBC4D17}" name="NOMBRE EMPLEADO"/>
    <tableColumn id="3" xr3:uid="{8DF0E71C-85BD-40A6-ABCB-35E28C3BD8FC}" name="SUELDO PAGADO" dataDxfId="28" dataCellStyle="Moneda"/>
    <tableColumn id="4" xr3:uid="{B8FBA746-56FE-4F19-8E41-2ED4542BF715}" name="APORTES DEL TRABAJADOR" dataDxfId="27" dataCellStyle="Moneda"/>
    <tableColumn id="5" xr3:uid="{5412C88C-65A9-4EE3-881F-5A88455AEA6F}" name="APORTES DEL EMPLEADOR" dataDxfId="26" dataCellStyle="Moneda"/>
    <tableColumn id="7" xr3:uid="{B7B7AFD8-71E1-457D-8557-B2A6A4E3A9D2}" name="BONO PRODUCTIVIDAD" dataDxfId="25" dataCellStyle="Moneda"/>
    <tableColumn id="6" xr3:uid="{453B62C9-7CEA-4FE5-AA62-8A3BEE898C21}" name="COSTO TOTAL EMPRESA" dataDxfId="24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69548E-2272-4DFD-81C3-AA1D5F6B7327}" name="tblCostoCuadrilla" displayName="tblCostoCuadrilla" ref="A7:H8" insertRow="1">
  <autoFilter ref="A7:H8" xr:uid="{C169548E-2272-4DFD-81C3-AA1D5F6B7327}"/>
  <tableColumns count="8">
    <tableColumn id="1" xr3:uid="{941AB5DF-2531-4EBB-8BE9-0924867B6688}" name="N°"/>
    <tableColumn id="2" xr3:uid="{EAE5B27F-D828-4E5D-B5A5-9D19483A3E4D}" name="FECHA"/>
    <tableColumn id="3" xr3:uid="{C0B1C413-4D50-48FB-BCE6-5FC028DF4B90}" name="CUADRILLERO"/>
    <tableColumn id="4" xr3:uid="{3D3E6C2C-9954-45F5-AEEB-61B76C56EE38}" name="CAMPO"/>
    <tableColumn id="5" xr3:uid="{503704B3-D73A-4252-B221-C4F17240AE91}" name="LABOR"/>
    <tableColumn id="6" xr3:uid="{90548D49-8B0B-43E3-839B-1559A9E9B468}" name="JORNAL"/>
    <tableColumn id="7" xr3:uid="{4B711389-7719-42D6-8B59-0E5FDA35A781}" name="BONO"/>
    <tableColumn id="8" xr3:uid="{FF0F3899-D9DC-47CB-A26C-177AD5C2BF18}" name="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05C90E-CA7D-4362-AB19-C5371CCA5DC0}" name="tblBonoCuadrilla" displayName="tblBonoCuadrilla" ref="A7:H8" insertRow="1">
  <autoFilter ref="A7:H8" xr:uid="{9805C90E-CA7D-4362-AB19-C5371CCA5DC0}"/>
  <tableColumns count="8">
    <tableColumn id="1" xr3:uid="{F9F46190-2300-434F-9FBB-21D09CA806A4}" name="N°"/>
    <tableColumn id="8" xr3:uid="{59F818F2-1C46-4D18-AB88-3C8EB33B61F1}" name="FECHA"/>
    <tableColumn id="2" xr3:uid="{2EB428BA-9ECA-4B74-8DE9-C10693F7B024}" name="CUADRILLERO"/>
    <tableColumn id="3" xr3:uid="{6609965B-E123-490E-8395-C42FF3F00989}" name="CAMPO" dataDxfId="23"/>
    <tableColumn id="4" xr3:uid="{C6260467-C642-497D-AF6D-FF44A9C6CEB1}" name="LABOR"/>
    <tableColumn id="5" xr3:uid="{76A2D74F-6938-4478-822D-C8B95DBB754C}" name="TOTAL KG"/>
    <tableColumn id="6" xr3:uid="{FEE1EA48-1D63-435C-B316-0406547FDC58}" name="METODO"/>
    <tableColumn id="7" xr3:uid="{CC985A8B-9528-4C39-AD70-170044FF27EB}" name="BONO PRODUCTIVIDA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A4B39-294C-420F-97C4-E54FE34E21EC}" name="Tabla2" displayName="Tabla2" ref="A4:K7" headerRowDxfId="22">
  <autoFilter ref="A4:K7" xr:uid="{F06A4B39-294C-420F-97C4-E54FE34E21EC}"/>
  <tableColumns count="11">
    <tableColumn id="1" xr3:uid="{2907273D-C11E-4E1E-9EB3-02BD1CC84CA6}" name="MES" totalsRowLabel="Total" dataDxfId="21" totalsRowDxfId="20"/>
    <tableColumn id="2" xr3:uid="{9CD235A8-2235-4B0D-8DB1-99F5B4282247}" name="PLANILLA" dataDxfId="19" totalsRowDxfId="18" dataCellStyle="Moneda">
      <calculatedColumnFormula>B3-B4</calculatedColumnFormula>
    </tableColumn>
    <tableColumn id="9" xr3:uid="{4F0CC146-7C00-4621-932D-4F8FF6524B32}" name="PLANILLA BONO PRODUCTIVIDAD" dataDxfId="17" totalsRowDxfId="16" dataCellStyle="Moneda"/>
    <tableColumn id="3" xr3:uid="{58D81BF4-3D56-4616-9378-B15ACCE87B7C}" name="CUADRILLA" dataDxfId="15" totalsRowDxfId="14" dataCellStyle="Moneda"/>
    <tableColumn id="11" xr3:uid="{2D9D64D7-D66C-470E-BCE9-3514D8EC74CB}" name="CUADRILLA BONO PRODUCTIVIDAD" dataDxfId="13" totalsRowDxfId="12" dataCellStyle="Moneda"/>
    <tableColumn id="4" xr3:uid="{A02A0E9E-FDFD-42C6-AD5C-FBB28DC980FA}" name="MAQUINARIA" dataDxfId="11" totalsRowDxfId="10" dataCellStyle="Moneda"/>
    <tableColumn id="5" xr3:uid="{C67ABD93-7F07-4989-AA06-CC63EDDBCE7D}" name="PESTICIDAS" dataDxfId="9" totalsRowDxfId="8" dataCellStyle="Moneda"/>
    <tableColumn id="6" xr3:uid="{5509C64D-975E-4FA2-A434-70C957CCAFD9}" name="FERTILIZANTES" dataDxfId="7" totalsRowDxfId="6" dataCellStyle="Moneda"/>
    <tableColumn id="10" xr3:uid="{739BE56D-8173-44DB-A614-20BB3F63B610}" name="SERVICIOS CAMPOS" dataDxfId="5" totalsRowDxfId="4" dataCellStyle="Moneda"/>
    <tableColumn id="7" xr3:uid="{ADA849BF-730B-440E-B74D-D2BED82DE221}" name="GENERALES" totalsRowFunction="count" dataDxfId="3" totalsRowDxfId="2" dataCellStyle="Moneda"/>
    <tableColumn id="8" xr3:uid="{6750E0BA-AD48-4AA8-8A44-1D8F376B103D}" name="COSTO TOTAL" dataDxfId="1" totalsRowDxfId="0" dataCellStyle="Moneda" totalsRowCellStyle="Moneda">
      <calculatedColumnFormula>SUM(Tabla2[[#This Row],[PLANILLA]:[GENERALES]])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zoomScale="85" zoomScaleNormal="85" workbookViewId="0">
      <selection activeCell="B2" sqref="B2"/>
    </sheetView>
  </sheetViews>
  <sheetFormatPr baseColWidth="10" defaultColWidth="9.109375" defaultRowHeight="14.4" x14ac:dyDescent="0.3"/>
  <cols>
    <col min="1" max="1" width="9.88671875" style="14" customWidth="1"/>
    <col min="2" max="2" width="12.33203125" style="15" customWidth="1"/>
    <col min="3" max="3" width="9.44140625" style="15" customWidth="1"/>
    <col min="4" max="4" width="14" style="15" customWidth="1"/>
    <col min="5" max="5" width="33.88671875" style="16" customWidth="1"/>
    <col min="6" max="6" width="33.88671875" style="17" customWidth="1"/>
    <col min="7" max="7" width="9.77734375" style="18" customWidth="1"/>
    <col min="8" max="8" width="10.77734375" style="24" customWidth="1"/>
    <col min="9" max="9" width="13.33203125" style="19" customWidth="1"/>
    <col min="10" max="10" width="28.21875" style="18" customWidth="1"/>
    <col min="11" max="11" width="20.21875" style="20" customWidth="1"/>
    <col min="12" max="12" width="8.44140625" style="21" customWidth="1"/>
    <col min="13" max="13" width="78.5546875" style="22" customWidth="1"/>
    <col min="14" max="16384" width="9.109375" style="7"/>
  </cols>
  <sheetData>
    <row r="1" spans="1:13" s="2" customFormat="1" ht="21.75" customHeight="1" thickBot="1" x14ac:dyDescent="0.35">
      <c r="A1" s="1" t="s">
        <v>0</v>
      </c>
      <c r="B1" s="57" t="s">
        <v>29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9.5" customHeight="1" thickBot="1" x14ac:dyDescent="0.35">
      <c r="A2" s="3">
        <v>1.5</v>
      </c>
      <c r="B2" s="4"/>
      <c r="C2" s="5"/>
      <c r="D2" s="5"/>
      <c r="E2" s="5"/>
      <c r="F2" s="6"/>
      <c r="G2" s="23"/>
      <c r="H2" s="23"/>
      <c r="I2" s="6"/>
      <c r="J2" s="6"/>
      <c r="K2" s="6"/>
      <c r="L2" s="6"/>
      <c r="M2" s="6"/>
    </row>
    <row r="3" spans="1:13" s="11" customFormat="1" ht="24.6" customHeight="1" thickBot="1" x14ac:dyDescent="0.25">
      <c r="A3" s="49" t="s">
        <v>1</v>
      </c>
      <c r="B3" s="51" t="s">
        <v>2</v>
      </c>
      <c r="C3" s="51" t="s">
        <v>5</v>
      </c>
      <c r="D3" s="51" t="s">
        <v>6</v>
      </c>
      <c r="E3" s="60" t="s">
        <v>7</v>
      </c>
      <c r="F3" s="60"/>
      <c r="G3" s="59" t="s">
        <v>4</v>
      </c>
      <c r="H3" s="59"/>
      <c r="I3" s="61" t="s">
        <v>15</v>
      </c>
      <c r="J3" s="61"/>
      <c r="K3" s="61"/>
      <c r="L3" s="53" t="s">
        <v>12</v>
      </c>
      <c r="M3" s="55" t="s">
        <v>13</v>
      </c>
    </row>
    <row r="4" spans="1:13" s="11" customFormat="1" ht="34.799999999999997" customHeight="1" thickBot="1" x14ac:dyDescent="0.25">
      <c r="A4" s="50"/>
      <c r="B4" s="52"/>
      <c r="C4" s="52"/>
      <c r="D4" s="52"/>
      <c r="E4" s="8" t="s">
        <v>14</v>
      </c>
      <c r="F4" s="12" t="s">
        <v>3</v>
      </c>
      <c r="G4" s="10" t="s">
        <v>8</v>
      </c>
      <c r="H4" s="13" t="s">
        <v>16</v>
      </c>
      <c r="I4" s="10" t="s">
        <v>9</v>
      </c>
      <c r="J4" s="10" t="s">
        <v>10</v>
      </c>
      <c r="K4" s="9" t="s">
        <v>11</v>
      </c>
      <c r="L4" s="54"/>
      <c r="M4" s="56"/>
    </row>
  </sheetData>
  <autoFilter ref="A4:M4" xr:uid="{00000000-0001-0000-0000-000000000000}"/>
  <mergeCells count="10">
    <mergeCell ref="M3:M4"/>
    <mergeCell ref="B1:M1"/>
    <mergeCell ref="G3:H3"/>
    <mergeCell ref="E3:F3"/>
    <mergeCell ref="I3:K3"/>
    <mergeCell ref="A3:A4"/>
    <mergeCell ref="B3:B4"/>
    <mergeCell ref="C3:C4"/>
    <mergeCell ref="D3:D4"/>
    <mergeCell ref="L3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069E-D230-4B98-BB8C-3C83E4AA3032}">
  <dimension ref="A1:G8"/>
  <sheetViews>
    <sheetView zoomScaleNormal="100" workbookViewId="0">
      <selection activeCell="E11" sqref="E11"/>
    </sheetView>
  </sheetViews>
  <sheetFormatPr baseColWidth="10" defaultRowHeight="14.4" x14ac:dyDescent="0.3"/>
  <cols>
    <col min="1" max="1" width="5.77734375" style="30" customWidth="1"/>
    <col min="2" max="2" width="41.5546875" customWidth="1"/>
    <col min="3" max="4" width="16.88671875" style="25" customWidth="1"/>
    <col min="5" max="7" width="24.5546875" style="25" customWidth="1"/>
  </cols>
  <sheetData>
    <row r="1" spans="1:7" ht="30.6" customHeight="1" x14ac:dyDescent="0.45">
      <c r="A1" s="62" t="s">
        <v>23</v>
      </c>
      <c r="B1" s="62"/>
      <c r="C1" s="62"/>
      <c r="D1" s="62"/>
      <c r="E1" s="62"/>
      <c r="F1" s="62"/>
      <c r="G1" s="62"/>
    </row>
    <row r="2" spans="1:7" ht="30.6" customHeight="1" x14ac:dyDescent="0.3">
      <c r="A2" s="63" t="s">
        <v>24</v>
      </c>
      <c r="B2" s="64"/>
      <c r="C2" s="64"/>
      <c r="D2" s="64"/>
      <c r="E2" s="64"/>
      <c r="F2" s="64"/>
      <c r="G2" s="64"/>
    </row>
    <row r="3" spans="1:7" ht="4.8" customHeight="1" x14ac:dyDescent="0.3"/>
    <row r="4" spans="1:7" ht="21.6" customHeight="1" x14ac:dyDescent="0.3">
      <c r="A4" s="65" t="s">
        <v>25</v>
      </c>
      <c r="B4" s="66"/>
      <c r="C4" s="69" t="s">
        <v>26</v>
      </c>
      <c r="D4" s="70"/>
      <c r="E4" s="31" t="s">
        <v>27</v>
      </c>
      <c r="F4" s="31"/>
      <c r="G4" s="31" t="s">
        <v>28</v>
      </c>
    </row>
    <row r="5" spans="1:7" ht="21.6" customHeight="1" x14ac:dyDescent="0.3">
      <c r="A5" s="67"/>
      <c r="B5" s="68"/>
      <c r="C5" s="71">
        <f>SUM(tblCostoPlanillaMensual[COSTO TOTAL EMPRESA])</f>
        <v>0</v>
      </c>
      <c r="D5" s="72"/>
      <c r="E5" s="33">
        <f>COUNTA(tblCostoPlanillaMensual[N°])</f>
        <v>0</v>
      </c>
      <c r="F5" s="33"/>
      <c r="G5" s="32"/>
    </row>
    <row r="6" spans="1:7" ht="4.8" customHeight="1" x14ac:dyDescent="0.3">
      <c r="C6" s="26"/>
      <c r="D6" s="26"/>
      <c r="E6" s="26"/>
      <c r="F6" s="26"/>
      <c r="G6" s="26"/>
    </row>
    <row r="7" spans="1:7" s="27" customFormat="1" ht="36.6" customHeight="1" x14ac:dyDescent="0.3">
      <c r="A7" s="28" t="s">
        <v>22</v>
      </c>
      <c r="B7" s="28" t="s">
        <v>17</v>
      </c>
      <c r="C7" s="29" t="s">
        <v>18</v>
      </c>
      <c r="D7" s="29" t="s">
        <v>19</v>
      </c>
      <c r="E7" s="29" t="s">
        <v>20</v>
      </c>
      <c r="F7" s="29" t="s">
        <v>44</v>
      </c>
      <c r="G7" s="29" t="s">
        <v>21</v>
      </c>
    </row>
    <row r="8" spans="1:7" x14ac:dyDescent="0.3">
      <c r="F8" s="38"/>
    </row>
  </sheetData>
  <mergeCells count="6">
    <mergeCell ref="A1:G1"/>
    <mergeCell ref="A2:G2"/>
    <mergeCell ref="A4:B4"/>
    <mergeCell ref="A5:B5"/>
    <mergeCell ref="C4:D4"/>
    <mergeCell ref="C5:D5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DC11-E62B-4982-B2AA-A01ED9829B5B}">
  <dimension ref="A1:H8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5.77734375" style="30" customWidth="1"/>
    <col min="2" max="2" width="15.77734375" style="30" customWidth="1"/>
    <col min="3" max="3" width="31.109375" customWidth="1"/>
    <col min="4" max="4" width="16.88671875" style="48" customWidth="1"/>
    <col min="5" max="5" width="46.33203125" style="39" customWidth="1"/>
    <col min="6" max="8" width="24.5546875" style="39" customWidth="1"/>
  </cols>
  <sheetData>
    <row r="1" spans="1:8" ht="30.6" customHeight="1" x14ac:dyDescent="0.45">
      <c r="A1" s="73" t="s">
        <v>57</v>
      </c>
      <c r="B1" s="73"/>
      <c r="C1" s="73"/>
      <c r="D1" s="73"/>
      <c r="E1" s="73"/>
      <c r="F1" s="73"/>
      <c r="G1" s="73"/>
      <c r="H1" s="73"/>
    </row>
    <row r="2" spans="1:8" ht="30.6" customHeight="1" x14ac:dyDescent="0.3">
      <c r="A2" s="74" t="s">
        <v>58</v>
      </c>
      <c r="B2" s="74"/>
      <c r="C2" s="75"/>
      <c r="D2" s="75"/>
      <c r="E2" s="75"/>
      <c r="F2" s="75"/>
      <c r="G2" s="75"/>
      <c r="H2" s="75"/>
    </row>
    <row r="3" spans="1:8" ht="4.8" customHeight="1" x14ac:dyDescent="0.3">
      <c r="H3"/>
    </row>
    <row r="4" spans="1:8" ht="21.6" customHeight="1" x14ac:dyDescent="0.3">
      <c r="A4" s="76" t="s">
        <v>25</v>
      </c>
      <c r="B4" s="77"/>
      <c r="C4" s="78"/>
      <c r="D4" s="79" t="s">
        <v>48</v>
      </c>
      <c r="E4" s="80"/>
      <c r="F4" s="40" t="s">
        <v>49</v>
      </c>
      <c r="G4" s="40"/>
      <c r="H4" s="40" t="s">
        <v>28</v>
      </c>
    </row>
    <row r="5" spans="1:8" ht="21.6" customHeight="1" x14ac:dyDescent="0.3">
      <c r="A5" s="81" t="s">
        <v>50</v>
      </c>
      <c r="B5" s="82"/>
      <c r="C5" s="83"/>
      <c r="D5" s="84">
        <f>SUM(H8:H8)</f>
        <v>0</v>
      </c>
      <c r="E5" s="85"/>
      <c r="F5" s="41">
        <v>23</v>
      </c>
      <c r="G5" s="41"/>
      <c r="H5" s="42" t="s">
        <v>59</v>
      </c>
    </row>
    <row r="6" spans="1:8" ht="4.8" customHeight="1" x14ac:dyDescent="0.3">
      <c r="D6" s="43"/>
      <c r="E6" s="43"/>
      <c r="F6" s="43"/>
      <c r="G6" s="43"/>
      <c r="H6" s="43"/>
    </row>
    <row r="7" spans="1:8" s="27" customFormat="1" ht="36.6" customHeight="1" x14ac:dyDescent="0.3">
      <c r="A7" s="44" t="s">
        <v>22</v>
      </c>
      <c r="B7" s="44" t="s">
        <v>1</v>
      </c>
      <c r="C7" s="44" t="s">
        <v>52</v>
      </c>
      <c r="D7" s="45" t="s">
        <v>5</v>
      </c>
      <c r="E7" s="45" t="s">
        <v>53</v>
      </c>
      <c r="F7" s="45" t="s">
        <v>60</v>
      </c>
      <c r="G7" s="45" t="s">
        <v>61</v>
      </c>
      <c r="H7" s="45" t="s">
        <v>62</v>
      </c>
    </row>
    <row r="8" spans="1:8" x14ac:dyDescent="0.3">
      <c r="D8"/>
      <c r="E8" s="46"/>
      <c r="F8" s="46"/>
      <c r="G8" s="47"/>
      <c r="H8" s="47"/>
    </row>
  </sheetData>
  <mergeCells count="6">
    <mergeCell ref="A1:H1"/>
    <mergeCell ref="A2:H2"/>
    <mergeCell ref="A4:C4"/>
    <mergeCell ref="D4:E4"/>
    <mergeCell ref="A5:C5"/>
    <mergeCell ref="D5:E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CADE-A992-46B8-BD2F-D84E02C021EB}">
  <dimension ref="A1:H8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5.77734375" style="30" customWidth="1"/>
    <col min="2" max="2" width="15.77734375" style="30" customWidth="1"/>
    <col min="3" max="3" width="31.109375" customWidth="1"/>
    <col min="4" max="4" width="16.88671875" style="48" customWidth="1"/>
    <col min="5" max="5" width="46.33203125" style="39" customWidth="1"/>
    <col min="6" max="8" width="24.5546875" style="39" customWidth="1"/>
  </cols>
  <sheetData>
    <row r="1" spans="1:8" ht="30.6" customHeight="1" x14ac:dyDescent="0.45">
      <c r="A1" s="73" t="s">
        <v>46</v>
      </c>
      <c r="B1" s="73"/>
      <c r="C1" s="73"/>
      <c r="D1" s="73"/>
      <c r="E1" s="73"/>
      <c r="F1" s="73"/>
      <c r="G1" s="73"/>
      <c r="H1" s="73"/>
    </row>
    <row r="2" spans="1:8" ht="30.6" customHeight="1" x14ac:dyDescent="0.3">
      <c r="A2" s="74" t="s">
        <v>47</v>
      </c>
      <c r="B2" s="74"/>
      <c r="C2" s="75"/>
      <c r="D2" s="75"/>
      <c r="E2" s="75"/>
      <c r="F2" s="75"/>
      <c r="G2" s="75"/>
      <c r="H2" s="75"/>
    </row>
    <row r="3" spans="1:8" ht="4.8" customHeight="1" x14ac:dyDescent="0.3">
      <c r="H3"/>
    </row>
    <row r="4" spans="1:8" ht="21.6" customHeight="1" x14ac:dyDescent="0.3">
      <c r="A4" s="76" t="s">
        <v>25</v>
      </c>
      <c r="B4" s="77"/>
      <c r="C4" s="78"/>
      <c r="D4" s="79" t="s">
        <v>48</v>
      </c>
      <c r="E4" s="80"/>
      <c r="F4" s="40" t="s">
        <v>49</v>
      </c>
      <c r="G4" s="40"/>
      <c r="H4" s="40" t="s">
        <v>28</v>
      </c>
    </row>
    <row r="5" spans="1:8" ht="21.6" customHeight="1" x14ac:dyDescent="0.3">
      <c r="A5" s="81" t="s">
        <v>50</v>
      </c>
      <c r="B5" s="82"/>
      <c r="C5" s="83"/>
      <c r="D5" s="84">
        <v>108405.80351852</v>
      </c>
      <c r="E5" s="85"/>
      <c r="F5" s="41">
        <v>48</v>
      </c>
      <c r="G5" s="41"/>
      <c r="H5" s="42" t="s">
        <v>51</v>
      </c>
    </row>
    <row r="6" spans="1:8" ht="4.8" customHeight="1" x14ac:dyDescent="0.3">
      <c r="D6" s="43"/>
      <c r="E6" s="43"/>
      <c r="F6" s="43"/>
      <c r="G6" s="43"/>
      <c r="H6" s="43"/>
    </row>
    <row r="7" spans="1:8" s="27" customFormat="1" ht="36.6" customHeight="1" x14ac:dyDescent="0.3">
      <c r="A7" s="44" t="s">
        <v>22</v>
      </c>
      <c r="B7" s="44" t="s">
        <v>1</v>
      </c>
      <c r="C7" s="44" t="s">
        <v>52</v>
      </c>
      <c r="D7" s="45" t="s">
        <v>5</v>
      </c>
      <c r="E7" s="45" t="s">
        <v>53</v>
      </c>
      <c r="F7" s="45" t="s">
        <v>56</v>
      </c>
      <c r="G7" s="45" t="s">
        <v>54</v>
      </c>
      <c r="H7" s="45" t="s">
        <v>44</v>
      </c>
    </row>
    <row r="8" spans="1:8" x14ac:dyDescent="0.3">
      <c r="A8"/>
      <c r="B8"/>
      <c r="D8"/>
      <c r="E8" s="46"/>
      <c r="F8" s="46"/>
      <c r="G8" s="47"/>
    </row>
  </sheetData>
  <mergeCells count="6">
    <mergeCell ref="A1:H1"/>
    <mergeCell ref="A2:H2"/>
    <mergeCell ref="A4:C4"/>
    <mergeCell ref="D4:E4"/>
    <mergeCell ref="A5:C5"/>
    <mergeCell ref="D5:E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7FEE-781B-4A30-8714-7E571BDE43A7}">
  <dimension ref="A1:K7"/>
  <sheetViews>
    <sheetView zoomScale="85" zoomScaleNormal="85" workbookViewId="0">
      <selection activeCell="C20" sqref="C20"/>
    </sheetView>
  </sheetViews>
  <sheetFormatPr baseColWidth="10" defaultRowHeight="14.4" x14ac:dyDescent="0.3"/>
  <cols>
    <col min="1" max="1" width="29.6640625" customWidth="1"/>
    <col min="2" max="4" width="20.5546875" customWidth="1"/>
    <col min="5" max="5" width="22.44140625" customWidth="1"/>
    <col min="6" max="8" width="20.5546875" customWidth="1"/>
    <col min="9" max="9" width="23.44140625" customWidth="1"/>
    <col min="10" max="11" width="20.5546875" customWidth="1"/>
  </cols>
  <sheetData>
    <row r="1" spans="1:11" ht="30.6" customHeight="1" x14ac:dyDescent="0.45">
      <c r="A1" s="62" t="s">
        <v>40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30.6" customHeight="1" x14ac:dyDescent="0.3">
      <c r="A2" s="63" t="s">
        <v>41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4" spans="1:11" s="37" customFormat="1" ht="33" customHeight="1" x14ac:dyDescent="0.3">
      <c r="A4" s="36" t="s">
        <v>30</v>
      </c>
      <c r="B4" s="36" t="s">
        <v>31</v>
      </c>
      <c r="C4" s="36" t="s">
        <v>43</v>
      </c>
      <c r="D4" s="36" t="s">
        <v>32</v>
      </c>
      <c r="E4" s="45" t="s">
        <v>55</v>
      </c>
      <c r="F4" s="36" t="s">
        <v>33</v>
      </c>
      <c r="G4" s="36" t="s">
        <v>34</v>
      </c>
      <c r="H4" s="36" t="s">
        <v>35</v>
      </c>
      <c r="I4" s="36" t="s">
        <v>45</v>
      </c>
      <c r="J4" s="36" t="s">
        <v>36</v>
      </c>
      <c r="K4" s="36" t="s">
        <v>42</v>
      </c>
    </row>
    <row r="5" spans="1:11" x14ac:dyDescent="0.3">
      <c r="A5" s="34" t="s">
        <v>38</v>
      </c>
      <c r="B5" s="35"/>
      <c r="C5" s="35"/>
      <c r="D5" s="35"/>
      <c r="E5" s="35"/>
      <c r="F5" s="35"/>
      <c r="G5" s="35"/>
      <c r="H5" s="35"/>
      <c r="I5" s="35"/>
      <c r="J5" s="35"/>
      <c r="K5" s="35">
        <f>SUM(Tabla2[[#This Row],[PLANILLA]:[GENERALES]])</f>
        <v>0</v>
      </c>
    </row>
    <row r="6" spans="1:11" x14ac:dyDescent="0.3">
      <c r="A6" s="34" t="s">
        <v>37</v>
      </c>
      <c r="B6" s="35"/>
      <c r="C6" s="35"/>
      <c r="D6" s="35"/>
      <c r="E6" s="35"/>
      <c r="F6" s="35"/>
      <c r="G6" s="35"/>
      <c r="H6" s="35"/>
      <c r="I6" s="35"/>
      <c r="J6" s="35"/>
      <c r="K6" s="35">
        <f>SUM(Tabla2[[#This Row],[PLANILLA]:[GENERALES]])</f>
        <v>0</v>
      </c>
    </row>
    <row r="7" spans="1:11" x14ac:dyDescent="0.3">
      <c r="A7" s="34" t="s">
        <v>39</v>
      </c>
      <c r="B7" s="35">
        <f t="shared" ref="B7:C7" si="0">B5-B6</f>
        <v>0</v>
      </c>
      <c r="C7" s="35">
        <f t="shared" si="0"/>
        <v>0</v>
      </c>
      <c r="D7" s="35">
        <f t="shared" ref="D7" si="1">D5-D6</f>
        <v>0</v>
      </c>
      <c r="E7" s="35"/>
      <c r="F7" s="35">
        <f t="shared" ref="F7" si="2">F5-F6</f>
        <v>0</v>
      </c>
      <c r="G7" s="35">
        <f t="shared" ref="G7" si="3">G5-G6</f>
        <v>0</v>
      </c>
      <c r="H7" s="35">
        <f t="shared" ref="H7" si="4">H5-H6</f>
        <v>0</v>
      </c>
      <c r="I7" s="35"/>
      <c r="J7" s="35">
        <f t="shared" ref="J7" si="5">J5-J6</f>
        <v>0</v>
      </c>
      <c r="K7" s="35">
        <f t="shared" ref="K7" si="6">K5-K6</f>
        <v>0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COSTO POR CAMPO</vt:lpstr>
      <vt:lpstr>COSTO LABORAL PLANILLA</vt:lpstr>
      <vt:lpstr>Hoja1</vt:lpstr>
      <vt:lpstr>COSTO CUADRILLA BONOS</vt:lpstr>
      <vt:lpstr>COSTO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2025-02-09T06:43:37Z</dcterms:created>
  <dcterms:modified xsi:type="dcterms:W3CDTF">2026-09-28T21:52:23Z</dcterms:modified>
  <cp:category/>
</cp:coreProperties>
</file>