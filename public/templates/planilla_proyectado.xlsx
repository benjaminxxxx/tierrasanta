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FDBC270B-F942-4E92-BC85-B7E9FD00E1DA}" xr6:coauthVersionLast="47" xr6:coauthVersionMax="47" xr10:uidLastSave="{00000000-0000-0000-0000-000000000000}"/>
  <bookViews>
    <workbookView xWindow="-108" yWindow="-108" windowWidth="23256" windowHeight="12456" activeTab="1" xr2:uid="{0D0853FD-6A20-4A77-9B43-493267389889}"/>
  </bookViews>
  <sheets>
    <sheet name="PROYECTADA" sheetId="4" r:id="rId1"/>
    <sheet name="PLAME" sheetId="5" r:id="rId2"/>
    <sheet name="REPORTE DIARIO" sheetId="6" r:id="rId3"/>
    <sheet name="DESCUENTO AFP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9" i="5" l="1"/>
  <c r="W29" i="5" s="1"/>
  <c r="V30" i="5"/>
  <c r="W30" i="5" s="1"/>
  <c r="V31" i="5"/>
  <c r="V32" i="5"/>
  <c r="V33" i="5"/>
  <c r="V34" i="5"/>
  <c r="V35" i="5"/>
  <c r="V36" i="5"/>
  <c r="V37" i="5"/>
  <c r="V38" i="5"/>
  <c r="W38" i="5" s="1"/>
  <c r="V39" i="5"/>
  <c r="W39" i="5" s="1"/>
  <c r="V40" i="5"/>
  <c r="W40" i="5" s="1"/>
  <c r="V41" i="5"/>
  <c r="V42" i="5"/>
  <c r="W42" i="5" s="1"/>
  <c r="V43" i="5"/>
  <c r="V44" i="5"/>
  <c r="V45" i="5"/>
  <c r="V46" i="5"/>
  <c r="V47" i="5"/>
  <c r="V48" i="5"/>
  <c r="V49" i="5"/>
  <c r="V50" i="5"/>
  <c r="W50" i="5" s="1"/>
  <c r="V51" i="5"/>
  <c r="W51" i="5" s="1"/>
  <c r="V52" i="5"/>
  <c r="W52" i="5" s="1"/>
  <c r="V53" i="5"/>
  <c r="V54" i="5"/>
  <c r="W54" i="5" s="1"/>
  <c r="V28" i="5"/>
  <c r="W28" i="5" s="1"/>
  <c r="AL12" i="5"/>
  <c r="AL31" i="5"/>
  <c r="AL35" i="5"/>
  <c r="AL36" i="5"/>
  <c r="AL37" i="5"/>
  <c r="AL38" i="5"/>
  <c r="AL48" i="5"/>
  <c r="AK8" i="5"/>
  <c r="AK9" i="5"/>
  <c r="AK10" i="5"/>
  <c r="AK11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2" i="5"/>
  <c r="AK33" i="5"/>
  <c r="AK34" i="5"/>
  <c r="AK35" i="5"/>
  <c r="AK36" i="5"/>
  <c r="AK39" i="5"/>
  <c r="AK40" i="5"/>
  <c r="AK41" i="5"/>
  <c r="AK42" i="5"/>
  <c r="AK43" i="5"/>
  <c r="AK44" i="5"/>
  <c r="AK45" i="5"/>
  <c r="AK46" i="5"/>
  <c r="AK47" i="5"/>
  <c r="AK49" i="5"/>
  <c r="AK50" i="5"/>
  <c r="AK51" i="5"/>
  <c r="AK52" i="5"/>
  <c r="AK53" i="5"/>
  <c r="AK54" i="5"/>
  <c r="AK7" i="5"/>
  <c r="AJ12" i="5"/>
  <c r="AJ31" i="5"/>
  <c r="AJ35" i="5"/>
  <c r="AJ36" i="5"/>
  <c r="AJ37" i="5"/>
  <c r="AJ38" i="5"/>
  <c r="AJ48" i="5"/>
  <c r="AB51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2" i="5"/>
  <c r="AB53" i="5"/>
  <c r="AB54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35" i="5"/>
  <c r="AC60" i="5"/>
  <c r="AC61" i="5"/>
  <c r="AC62" i="5"/>
  <c r="AC59" i="5"/>
  <c r="AH48" i="5"/>
  <c r="AH12" i="5"/>
  <c r="AH31" i="5"/>
  <c r="AH35" i="5"/>
  <c r="AH36" i="5"/>
  <c r="AH37" i="5"/>
  <c r="AH38" i="5"/>
  <c r="AD65" i="5"/>
  <c r="AD66" i="5"/>
  <c r="AD67" i="5"/>
  <c r="AD64" i="5"/>
  <c r="AD60" i="5"/>
  <c r="AD61" i="5"/>
  <c r="AD62" i="5"/>
  <c r="AD59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7" i="5"/>
  <c r="N22" i="4"/>
  <c r="Z8" i="5"/>
  <c r="Z9" i="5"/>
  <c r="Z10" i="5"/>
  <c r="Z11" i="5"/>
  <c r="Z12" i="5"/>
  <c r="Z13" i="5"/>
  <c r="Z14" i="5"/>
  <c r="Z15" i="5"/>
  <c r="Z16" i="5"/>
  <c r="Z17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7" i="5"/>
  <c r="D7" i="4"/>
  <c r="H7" i="4" s="1"/>
  <c r="D8" i="4"/>
  <c r="D9" i="4"/>
  <c r="L9" i="4" s="1"/>
  <c r="M9" i="4" s="1"/>
  <c r="D10" i="4"/>
  <c r="H10" i="4" s="1"/>
  <c r="D11" i="4"/>
  <c r="H11" i="4" s="1"/>
  <c r="D12" i="4"/>
  <c r="H12" i="4" s="1"/>
  <c r="D13" i="4"/>
  <c r="D14" i="4"/>
  <c r="K14" i="4" s="1"/>
  <c r="D15" i="4"/>
  <c r="H15" i="4" s="1"/>
  <c r="D16" i="4"/>
  <c r="H16" i="4" s="1"/>
  <c r="D17" i="4"/>
  <c r="H17" i="4" s="1"/>
  <c r="D18" i="4"/>
  <c r="H18" i="4" s="1"/>
  <c r="D19" i="4"/>
  <c r="H19" i="4" s="1"/>
  <c r="D20" i="4"/>
  <c r="H20" i="4" s="1"/>
  <c r="D21" i="4"/>
  <c r="H21" i="4" s="1"/>
  <c r="D22" i="4"/>
  <c r="H22" i="4" s="1"/>
  <c r="D23" i="4"/>
  <c r="D24" i="4"/>
  <c r="H24" i="4" s="1"/>
  <c r="D25" i="4"/>
  <c r="H25" i="4" s="1"/>
  <c r="D26" i="4"/>
  <c r="H26" i="4" s="1"/>
  <c r="D27" i="4"/>
  <c r="H27" i="4" s="1"/>
  <c r="D28" i="4"/>
  <c r="H28" i="4" s="1"/>
  <c r="D29" i="4"/>
  <c r="H29" i="4" s="1"/>
  <c r="D30" i="4"/>
  <c r="H30" i="4" s="1"/>
  <c r="D31" i="4"/>
  <c r="H31" i="4" s="1"/>
  <c r="D32" i="4"/>
  <c r="D33" i="4"/>
  <c r="L33" i="4" s="1"/>
  <c r="M33" i="4" s="1"/>
  <c r="D34" i="4"/>
  <c r="H34" i="4" s="1"/>
  <c r="D35" i="4"/>
  <c r="H35" i="4" s="1"/>
  <c r="D36" i="4"/>
  <c r="H36" i="4" s="1"/>
  <c r="D37" i="4"/>
  <c r="L37" i="4" s="1"/>
  <c r="M37" i="4" s="1"/>
  <c r="D38" i="4"/>
  <c r="H38" i="4" s="1"/>
  <c r="D39" i="4"/>
  <c r="H39" i="4" s="1"/>
  <c r="D40" i="4"/>
  <c r="H40" i="4" s="1"/>
  <c r="D41" i="4"/>
  <c r="L41" i="4" s="1"/>
  <c r="M41" i="4" s="1"/>
  <c r="D42" i="4"/>
  <c r="K42" i="4" s="1"/>
  <c r="D43" i="4"/>
  <c r="H43" i="4" s="1"/>
  <c r="D44" i="4"/>
  <c r="H44" i="4" s="1"/>
  <c r="D45" i="4"/>
  <c r="K45" i="4" s="1"/>
  <c r="D46" i="4"/>
  <c r="H46" i="4" s="1"/>
  <c r="D47" i="4"/>
  <c r="H47" i="4" s="1"/>
  <c r="D48" i="4"/>
  <c r="H48" i="4" s="1"/>
  <c r="D49" i="4"/>
  <c r="D50" i="4"/>
  <c r="H50" i="4" s="1"/>
  <c r="D51" i="4"/>
  <c r="H51" i="4" s="1"/>
  <c r="D52" i="4"/>
  <c r="H52" i="4" s="1"/>
  <c r="D53" i="4"/>
  <c r="H53" i="4" s="1"/>
  <c r="D54" i="4"/>
  <c r="H54" i="4" s="1"/>
  <c r="V8" i="5"/>
  <c r="W8" i="5" s="1"/>
  <c r="V9" i="5"/>
  <c r="W9" i="5" s="1"/>
  <c r="V10" i="5"/>
  <c r="W10" i="5" s="1"/>
  <c r="V11" i="5"/>
  <c r="W11" i="5" s="1"/>
  <c r="V12" i="5"/>
  <c r="W12" i="5" s="1"/>
  <c r="V13" i="5"/>
  <c r="W13" i="5" s="1"/>
  <c r="V14" i="5"/>
  <c r="W14" i="5" s="1"/>
  <c r="V15" i="5"/>
  <c r="W15" i="5" s="1"/>
  <c r="V16" i="5"/>
  <c r="W16" i="5" s="1"/>
  <c r="V17" i="5"/>
  <c r="W17" i="5" s="1"/>
  <c r="V18" i="5"/>
  <c r="W18" i="5" s="1"/>
  <c r="V19" i="5"/>
  <c r="W19" i="5" s="1"/>
  <c r="V20" i="5"/>
  <c r="W20" i="5" s="1"/>
  <c r="V21" i="5"/>
  <c r="W21" i="5" s="1"/>
  <c r="V22" i="5"/>
  <c r="W22" i="5" s="1"/>
  <c r="V23" i="5"/>
  <c r="W23" i="5" s="1"/>
  <c r="V24" i="5"/>
  <c r="W24" i="5" s="1"/>
  <c r="V25" i="5"/>
  <c r="W25" i="5" s="1"/>
  <c r="V26" i="5"/>
  <c r="W26" i="5" s="1"/>
  <c r="V27" i="5"/>
  <c r="W27" i="5" s="1"/>
  <c r="W31" i="5"/>
  <c r="W32" i="5"/>
  <c r="W33" i="5"/>
  <c r="W34" i="5"/>
  <c r="W35" i="5"/>
  <c r="W36" i="5"/>
  <c r="W37" i="5"/>
  <c r="W41" i="5"/>
  <c r="W43" i="5"/>
  <c r="W44" i="5"/>
  <c r="W45" i="5"/>
  <c r="W46" i="5"/>
  <c r="W47" i="5"/>
  <c r="W48" i="5"/>
  <c r="W49" i="5"/>
  <c r="W53" i="5"/>
  <c r="V7" i="5"/>
  <c r="W7" i="5" s="1"/>
  <c r="W114" i="6"/>
  <c r="AB107" i="6"/>
  <c r="N107" i="6"/>
  <c r="G107" i="6"/>
  <c r="C106" i="6"/>
  <c r="P105" i="6"/>
  <c r="C105" i="6"/>
  <c r="K104" i="6"/>
  <c r="C104" i="6"/>
  <c r="T103" i="6"/>
  <c r="S103" i="6"/>
  <c r="R103" i="6"/>
  <c r="Q103" i="6"/>
  <c r="P103" i="6"/>
  <c r="O103" i="6"/>
  <c r="M103" i="6"/>
  <c r="L103" i="6"/>
  <c r="C103" i="6"/>
  <c r="C102" i="6"/>
  <c r="C101" i="6"/>
  <c r="C100" i="6"/>
  <c r="C99" i="6"/>
  <c r="C98" i="6"/>
  <c r="K97" i="6"/>
  <c r="C97" i="6"/>
  <c r="C96" i="6"/>
  <c r="C95" i="6"/>
  <c r="C94" i="6"/>
  <c r="C93" i="6"/>
  <c r="C92" i="6"/>
  <c r="C91" i="6"/>
  <c r="C90" i="6"/>
  <c r="C89" i="6"/>
  <c r="C88" i="6"/>
  <c r="AC87" i="6"/>
  <c r="AA87" i="6"/>
  <c r="C87" i="6"/>
  <c r="C86" i="6"/>
  <c r="C85" i="6"/>
  <c r="C84" i="6"/>
  <c r="C83" i="6"/>
  <c r="C82" i="6"/>
  <c r="I81" i="6"/>
  <c r="C81" i="6"/>
  <c r="C80" i="6"/>
  <c r="C79" i="6"/>
  <c r="C78" i="6"/>
  <c r="J77" i="6"/>
  <c r="C77" i="6"/>
  <c r="C76" i="6"/>
  <c r="C75" i="6"/>
  <c r="AA74" i="6"/>
  <c r="V74" i="6"/>
  <c r="R74" i="6"/>
  <c r="C74" i="6"/>
  <c r="C73" i="6"/>
  <c r="C72" i="6"/>
  <c r="C71" i="6"/>
  <c r="C70" i="6"/>
  <c r="V69" i="6"/>
  <c r="C69" i="6"/>
  <c r="C68" i="6"/>
  <c r="AG67" i="6"/>
  <c r="V67" i="6"/>
  <c r="J67" i="6"/>
  <c r="E67" i="6"/>
  <c r="C67" i="6"/>
  <c r="C66" i="6"/>
  <c r="C65" i="6"/>
  <c r="C64" i="6"/>
  <c r="AA63" i="6"/>
  <c r="C63" i="6"/>
  <c r="C62" i="6"/>
  <c r="AQ61" i="6"/>
  <c r="C61" i="6"/>
  <c r="C60" i="6"/>
  <c r="C59" i="6"/>
  <c r="AT55" i="6"/>
  <c r="AO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AN54" i="6"/>
  <c r="AP54" i="6" s="1"/>
  <c r="AQ54" i="6" s="1"/>
  <c r="AR54" i="6" s="1"/>
  <c r="AM54" i="6"/>
  <c r="AL54" i="6"/>
  <c r="AK54" i="6"/>
  <c r="AI54" i="6"/>
  <c r="AJ54" i="6" s="1"/>
  <c r="AN53" i="6"/>
  <c r="AP53" i="6" s="1"/>
  <c r="AQ53" i="6" s="1"/>
  <c r="AR53" i="6" s="1"/>
  <c r="AM53" i="6"/>
  <c r="AL53" i="6"/>
  <c r="AK53" i="6"/>
  <c r="AI53" i="6"/>
  <c r="X53" i="5" s="1"/>
  <c r="AN52" i="6"/>
  <c r="AP52" i="6" s="1"/>
  <c r="AQ52" i="6" s="1"/>
  <c r="AR52" i="6" s="1"/>
  <c r="AM52" i="6"/>
  <c r="AL52" i="6"/>
  <c r="AK52" i="6"/>
  <c r="AI52" i="6"/>
  <c r="AJ52" i="6" s="1"/>
  <c r="AN51" i="6"/>
  <c r="AP51" i="6" s="1"/>
  <c r="AQ51" i="6" s="1"/>
  <c r="AR51" i="6" s="1"/>
  <c r="AM51" i="6"/>
  <c r="AL51" i="6"/>
  <c r="AK51" i="6"/>
  <c r="AI51" i="6"/>
  <c r="AJ51" i="6" s="1"/>
  <c r="AN50" i="6"/>
  <c r="AP50" i="6" s="1"/>
  <c r="AQ50" i="6" s="1"/>
  <c r="AR50" i="6" s="1"/>
  <c r="AM50" i="6"/>
  <c r="AL50" i="6"/>
  <c r="AK50" i="6"/>
  <c r="AI50" i="6"/>
  <c r="AJ50" i="6" s="1"/>
  <c r="AN49" i="6"/>
  <c r="AP49" i="6" s="1"/>
  <c r="AQ49" i="6" s="1"/>
  <c r="AR49" i="6" s="1"/>
  <c r="AM49" i="6"/>
  <c r="AL49" i="6"/>
  <c r="AK49" i="6"/>
  <c r="AI49" i="6"/>
  <c r="AJ49" i="6" s="1"/>
  <c r="AN48" i="6"/>
  <c r="AP48" i="6" s="1"/>
  <c r="AQ48" i="6" s="1"/>
  <c r="AR48" i="6" s="1"/>
  <c r="AM48" i="6"/>
  <c r="AL48" i="6"/>
  <c r="AK48" i="6"/>
  <c r="AI48" i="6"/>
  <c r="AJ48" i="6" s="1"/>
  <c r="AN47" i="6"/>
  <c r="AP47" i="6" s="1"/>
  <c r="AQ47" i="6" s="1"/>
  <c r="AR47" i="6" s="1"/>
  <c r="AM47" i="6"/>
  <c r="AL47" i="6"/>
  <c r="AK47" i="6"/>
  <c r="AI47" i="6"/>
  <c r="AJ47" i="6" s="1"/>
  <c r="AN46" i="6"/>
  <c r="AP46" i="6" s="1"/>
  <c r="AQ46" i="6" s="1"/>
  <c r="AR46" i="6" s="1"/>
  <c r="AM46" i="6"/>
  <c r="AL46" i="6"/>
  <c r="AI46" i="6"/>
  <c r="AJ46" i="6" s="1"/>
  <c r="AN45" i="6"/>
  <c r="AP45" i="6" s="1"/>
  <c r="AQ45" i="6" s="1"/>
  <c r="AR45" i="6" s="1"/>
  <c r="AM45" i="6"/>
  <c r="AL45" i="6"/>
  <c r="AI45" i="6"/>
  <c r="AJ45" i="6" s="1"/>
  <c r="AN44" i="6"/>
  <c r="AP44" i="6" s="1"/>
  <c r="AQ44" i="6" s="1"/>
  <c r="AR44" i="6" s="1"/>
  <c r="AM44" i="6"/>
  <c r="AL44" i="6"/>
  <c r="AI44" i="6"/>
  <c r="AJ44" i="6" s="1"/>
  <c r="AN43" i="6"/>
  <c r="AP43" i="6" s="1"/>
  <c r="AQ43" i="6" s="1"/>
  <c r="AR43" i="6" s="1"/>
  <c r="AL43" i="6"/>
  <c r="AI43" i="6"/>
  <c r="X43" i="5" s="1"/>
  <c r="AN42" i="6"/>
  <c r="AP42" i="6" s="1"/>
  <c r="AQ42" i="6" s="1"/>
  <c r="AR42" i="6" s="1"/>
  <c r="AL42" i="6"/>
  <c r="AI42" i="6"/>
  <c r="X42" i="5" s="1"/>
  <c r="AN41" i="6"/>
  <c r="AP41" i="6" s="1"/>
  <c r="AQ41" i="6" s="1"/>
  <c r="AR41" i="6" s="1"/>
  <c r="AM41" i="6"/>
  <c r="AL41" i="6"/>
  <c r="AI41" i="6"/>
  <c r="AJ41" i="6" s="1"/>
  <c r="AN40" i="6"/>
  <c r="AP40" i="6" s="1"/>
  <c r="AQ40" i="6" s="1"/>
  <c r="AR40" i="6" s="1"/>
  <c r="AM40" i="6"/>
  <c r="AL40" i="6"/>
  <c r="AI40" i="6"/>
  <c r="AJ40" i="6" s="1"/>
  <c r="AN39" i="6"/>
  <c r="AP39" i="6" s="1"/>
  <c r="AQ39" i="6" s="1"/>
  <c r="AR39" i="6" s="1"/>
  <c r="AM39" i="6"/>
  <c r="AL39" i="6"/>
  <c r="AI39" i="6"/>
  <c r="AJ39" i="6" s="1"/>
  <c r="AN38" i="6"/>
  <c r="AP38" i="6" s="1"/>
  <c r="AQ38" i="6" s="1"/>
  <c r="AR38" i="6" s="1"/>
  <c r="AM38" i="6"/>
  <c r="AL38" i="6"/>
  <c r="AI38" i="6"/>
  <c r="AJ38" i="6" s="1"/>
  <c r="AN37" i="6"/>
  <c r="AP37" i="6" s="1"/>
  <c r="AQ37" i="6" s="1"/>
  <c r="AR37" i="6" s="1"/>
  <c r="AM37" i="6"/>
  <c r="AL37" i="6"/>
  <c r="AI37" i="6"/>
  <c r="AJ37" i="6" s="1"/>
  <c r="AN36" i="6"/>
  <c r="AP36" i="6" s="1"/>
  <c r="AQ36" i="6" s="1"/>
  <c r="AR36" i="6" s="1"/>
  <c r="AM36" i="6"/>
  <c r="AL36" i="6"/>
  <c r="AI36" i="6"/>
  <c r="AJ36" i="6" s="1"/>
  <c r="AN35" i="6"/>
  <c r="AP35" i="6" s="1"/>
  <c r="AQ35" i="6" s="1"/>
  <c r="AR35" i="6" s="1"/>
  <c r="AM35" i="6"/>
  <c r="AL35" i="6"/>
  <c r="AI35" i="6"/>
  <c r="AJ35" i="6" s="1"/>
  <c r="AN34" i="6"/>
  <c r="AP34" i="6" s="1"/>
  <c r="AQ34" i="6" s="1"/>
  <c r="AR34" i="6" s="1"/>
  <c r="AI34" i="6"/>
  <c r="AJ34" i="6" s="1"/>
  <c r="AN33" i="6"/>
  <c r="AP33" i="6" s="1"/>
  <c r="AQ33" i="6" s="1"/>
  <c r="AR33" i="6" s="1"/>
  <c r="AI33" i="6"/>
  <c r="X33" i="5" s="1"/>
  <c r="AN32" i="6"/>
  <c r="AP32" i="6" s="1"/>
  <c r="AQ32" i="6" s="1"/>
  <c r="AR32" i="6" s="1"/>
  <c r="AI32" i="6"/>
  <c r="AJ32" i="6" s="1"/>
  <c r="AN31" i="6"/>
  <c r="AP31" i="6" s="1"/>
  <c r="AQ31" i="6" s="1"/>
  <c r="AR31" i="6" s="1"/>
  <c r="AI31" i="6"/>
  <c r="AJ31" i="6" s="1"/>
  <c r="AN30" i="6"/>
  <c r="AP30" i="6" s="1"/>
  <c r="AQ30" i="6" s="1"/>
  <c r="AR30" i="6" s="1"/>
  <c r="AI30" i="6"/>
  <c r="AJ30" i="6" s="1"/>
  <c r="AN29" i="6"/>
  <c r="AP29" i="6" s="1"/>
  <c r="AQ29" i="6" s="1"/>
  <c r="AR29" i="6" s="1"/>
  <c r="AM29" i="6"/>
  <c r="AL29" i="6"/>
  <c r="AI29" i="6"/>
  <c r="AJ29" i="6" s="1"/>
  <c r="AN28" i="6"/>
  <c r="AP28" i="6" s="1"/>
  <c r="AQ28" i="6" s="1"/>
  <c r="AR28" i="6" s="1"/>
  <c r="AM28" i="6"/>
  <c r="AL28" i="6"/>
  <c r="AI28" i="6"/>
  <c r="AJ28" i="6" s="1"/>
  <c r="AN27" i="6"/>
  <c r="AP27" i="6" s="1"/>
  <c r="AQ27" i="6" s="1"/>
  <c r="AR27" i="6" s="1"/>
  <c r="AM27" i="6"/>
  <c r="AL27" i="6"/>
  <c r="AI27" i="6"/>
  <c r="AJ27" i="6" s="1"/>
  <c r="AN26" i="6"/>
  <c r="AP26" i="6" s="1"/>
  <c r="AQ26" i="6" s="1"/>
  <c r="AR26" i="6" s="1"/>
  <c r="AM26" i="6"/>
  <c r="AL26" i="6"/>
  <c r="AI26" i="6"/>
  <c r="AJ26" i="6" s="1"/>
  <c r="AN25" i="6"/>
  <c r="AP25" i="6" s="1"/>
  <c r="AQ25" i="6" s="1"/>
  <c r="AR25" i="6" s="1"/>
  <c r="AM25" i="6"/>
  <c r="AL25" i="6"/>
  <c r="AI25" i="6"/>
  <c r="AJ25" i="6" s="1"/>
  <c r="AN24" i="6"/>
  <c r="AP24" i="6" s="1"/>
  <c r="AQ24" i="6" s="1"/>
  <c r="AR24" i="6" s="1"/>
  <c r="AM24" i="6"/>
  <c r="AL24" i="6"/>
  <c r="AK24" i="6"/>
  <c r="AI24" i="6"/>
  <c r="AJ24" i="6" s="1"/>
  <c r="AN23" i="6"/>
  <c r="AP23" i="6" s="1"/>
  <c r="AQ23" i="6" s="1"/>
  <c r="AR23" i="6" s="1"/>
  <c r="AM23" i="6"/>
  <c r="AL23" i="6"/>
  <c r="AI23" i="6"/>
  <c r="AJ23" i="6" s="1"/>
  <c r="AN22" i="6"/>
  <c r="AP22" i="6" s="1"/>
  <c r="AQ22" i="6" s="1"/>
  <c r="AR22" i="6" s="1"/>
  <c r="AM22" i="6"/>
  <c r="AL22" i="6"/>
  <c r="AK22" i="6"/>
  <c r="AI22" i="6"/>
  <c r="AJ22" i="6" s="1"/>
  <c r="AN21" i="6"/>
  <c r="AP21" i="6" s="1"/>
  <c r="AQ21" i="6" s="1"/>
  <c r="AR21" i="6" s="1"/>
  <c r="AM21" i="6"/>
  <c r="AL21" i="6"/>
  <c r="AK21" i="6"/>
  <c r="AI21" i="6"/>
  <c r="AJ21" i="6" s="1"/>
  <c r="AN20" i="6"/>
  <c r="AP20" i="6" s="1"/>
  <c r="AQ20" i="6" s="1"/>
  <c r="AR20" i="6" s="1"/>
  <c r="AM20" i="6"/>
  <c r="AL20" i="6"/>
  <c r="AK20" i="6"/>
  <c r="AI20" i="6"/>
  <c r="AJ20" i="6" s="1"/>
  <c r="AN19" i="6"/>
  <c r="AP19" i="6" s="1"/>
  <c r="AQ19" i="6" s="1"/>
  <c r="AR19" i="6" s="1"/>
  <c r="AM19" i="6"/>
  <c r="AL19" i="6"/>
  <c r="AK19" i="6"/>
  <c r="AI19" i="6"/>
  <c r="AJ19" i="6" s="1"/>
  <c r="AN18" i="6"/>
  <c r="AP18" i="6" s="1"/>
  <c r="AQ18" i="6" s="1"/>
  <c r="AR18" i="6" s="1"/>
  <c r="AM18" i="6"/>
  <c r="AL18" i="6"/>
  <c r="AI18" i="6"/>
  <c r="X18" i="5" s="1"/>
  <c r="AN17" i="6"/>
  <c r="AP17" i="6" s="1"/>
  <c r="AQ17" i="6" s="1"/>
  <c r="AR17" i="6" s="1"/>
  <c r="AM17" i="6"/>
  <c r="AL17" i="6"/>
  <c r="AK17" i="6"/>
  <c r="AI17" i="6"/>
  <c r="AJ17" i="6" s="1"/>
  <c r="AN16" i="6"/>
  <c r="AP16" i="6" s="1"/>
  <c r="AQ16" i="6" s="1"/>
  <c r="AR16" i="6" s="1"/>
  <c r="AM16" i="6"/>
  <c r="AL16" i="6"/>
  <c r="AK16" i="6"/>
  <c r="AI16" i="6"/>
  <c r="AJ16" i="6" s="1"/>
  <c r="AN15" i="6"/>
  <c r="AP15" i="6" s="1"/>
  <c r="AQ15" i="6" s="1"/>
  <c r="AR15" i="6" s="1"/>
  <c r="AM15" i="6"/>
  <c r="AL15" i="6"/>
  <c r="AK15" i="6"/>
  <c r="AI15" i="6"/>
  <c r="AJ15" i="6" s="1"/>
  <c r="AN14" i="6"/>
  <c r="AP14" i="6" s="1"/>
  <c r="AQ14" i="6" s="1"/>
  <c r="AR14" i="6" s="1"/>
  <c r="AM14" i="6"/>
  <c r="AL14" i="6"/>
  <c r="AK14" i="6"/>
  <c r="AI14" i="6"/>
  <c r="AJ14" i="6" s="1"/>
  <c r="AN13" i="6"/>
  <c r="AP13" i="6" s="1"/>
  <c r="AQ13" i="6" s="1"/>
  <c r="AR13" i="6" s="1"/>
  <c r="AM13" i="6"/>
  <c r="AL13" i="6"/>
  <c r="AK13" i="6"/>
  <c r="AI13" i="6"/>
  <c r="AJ13" i="6" s="1"/>
  <c r="AN12" i="6"/>
  <c r="AP12" i="6" s="1"/>
  <c r="AQ12" i="6" s="1"/>
  <c r="AR12" i="6" s="1"/>
  <c r="AM12" i="6"/>
  <c r="AL12" i="6"/>
  <c r="AK12" i="6"/>
  <c r="AI12" i="6"/>
  <c r="AJ12" i="6" s="1"/>
  <c r="AN11" i="6"/>
  <c r="AP11" i="6" s="1"/>
  <c r="AQ11" i="6" s="1"/>
  <c r="AR11" i="6" s="1"/>
  <c r="AM11" i="6"/>
  <c r="AL11" i="6"/>
  <c r="AK11" i="6"/>
  <c r="AI11" i="6"/>
  <c r="AJ11" i="6" s="1"/>
  <c r="AN10" i="6"/>
  <c r="AP10" i="6" s="1"/>
  <c r="AQ10" i="6" s="1"/>
  <c r="AR10" i="6" s="1"/>
  <c r="AM10" i="6"/>
  <c r="AL10" i="6"/>
  <c r="AK10" i="6"/>
  <c r="AI10" i="6"/>
  <c r="X10" i="5" s="1"/>
  <c r="AN9" i="6"/>
  <c r="AP9" i="6" s="1"/>
  <c r="AQ9" i="6" s="1"/>
  <c r="AR9" i="6" s="1"/>
  <c r="AM9" i="6"/>
  <c r="AL9" i="6"/>
  <c r="AK9" i="6"/>
  <c r="AI9" i="6"/>
  <c r="X9" i="5" s="1"/>
  <c r="AN8" i="6"/>
  <c r="AP8" i="6" s="1"/>
  <c r="AQ8" i="6" s="1"/>
  <c r="AR8" i="6" s="1"/>
  <c r="AM8" i="6"/>
  <c r="AL8" i="6"/>
  <c r="AK8" i="6"/>
  <c r="AI8" i="6"/>
  <c r="AJ8" i="6" s="1"/>
  <c r="AN7" i="6"/>
  <c r="AM7" i="6"/>
  <c r="AL7" i="6"/>
  <c r="AK7" i="6"/>
  <c r="AI7" i="6"/>
  <c r="AJ7" i="6" s="1"/>
  <c r="AG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AP1" i="5"/>
  <c r="D74" i="4"/>
  <c r="G58" i="4"/>
  <c r="F58" i="4"/>
  <c r="E58" i="4"/>
  <c r="AA54" i="4"/>
  <c r="Y54" i="4"/>
  <c r="X54" i="4"/>
  <c r="N54" i="4"/>
  <c r="AA53" i="4"/>
  <c r="Y53" i="4"/>
  <c r="X53" i="4"/>
  <c r="N53" i="4"/>
  <c r="AA52" i="4"/>
  <c r="Y52" i="4"/>
  <c r="X52" i="4"/>
  <c r="N52" i="4"/>
  <c r="AA51" i="4"/>
  <c r="Y51" i="4"/>
  <c r="X51" i="4"/>
  <c r="N51" i="4"/>
  <c r="AA50" i="4"/>
  <c r="Y50" i="4"/>
  <c r="X50" i="4"/>
  <c r="N50" i="4"/>
  <c r="AA49" i="4"/>
  <c r="Y49" i="4"/>
  <c r="X49" i="4"/>
  <c r="N49" i="4"/>
  <c r="AA48" i="4"/>
  <c r="Y48" i="4"/>
  <c r="X48" i="4"/>
  <c r="N48" i="4"/>
  <c r="AA47" i="4"/>
  <c r="Y47" i="4"/>
  <c r="X47" i="4"/>
  <c r="N47" i="4"/>
  <c r="AA46" i="4"/>
  <c r="Y46" i="4"/>
  <c r="X46" i="4"/>
  <c r="N46" i="4"/>
  <c r="AA45" i="4"/>
  <c r="Y45" i="4"/>
  <c r="X45" i="4"/>
  <c r="N45" i="4"/>
  <c r="AA44" i="4"/>
  <c r="Y44" i="4"/>
  <c r="X44" i="4"/>
  <c r="N44" i="4"/>
  <c r="AA43" i="4"/>
  <c r="Y43" i="4"/>
  <c r="X43" i="4"/>
  <c r="N43" i="4"/>
  <c r="AA42" i="4"/>
  <c r="Y42" i="4"/>
  <c r="X42" i="4"/>
  <c r="N42" i="4"/>
  <c r="AA41" i="4"/>
  <c r="Y41" i="4"/>
  <c r="X41" i="4"/>
  <c r="N41" i="4"/>
  <c r="AA40" i="4"/>
  <c r="Y40" i="4"/>
  <c r="X40" i="4"/>
  <c r="N40" i="4"/>
  <c r="AA39" i="4"/>
  <c r="Y39" i="4"/>
  <c r="X39" i="4"/>
  <c r="N39" i="4"/>
  <c r="AA38" i="4"/>
  <c r="Y38" i="4"/>
  <c r="X38" i="4"/>
  <c r="N38" i="4"/>
  <c r="AA37" i="4"/>
  <c r="Y37" i="4"/>
  <c r="X37" i="4"/>
  <c r="N37" i="4"/>
  <c r="AA36" i="4"/>
  <c r="Y36" i="4"/>
  <c r="X36" i="4"/>
  <c r="N36" i="4"/>
  <c r="AA35" i="4"/>
  <c r="Y35" i="4"/>
  <c r="X35" i="4"/>
  <c r="N35" i="4"/>
  <c r="AA34" i="4"/>
  <c r="Y34" i="4"/>
  <c r="X34" i="4"/>
  <c r="N34" i="4"/>
  <c r="AA33" i="4"/>
  <c r="Y33" i="4"/>
  <c r="X33" i="4"/>
  <c r="N33" i="4"/>
  <c r="AA32" i="4"/>
  <c r="Y32" i="4"/>
  <c r="X32" i="4"/>
  <c r="N32" i="4"/>
  <c r="AA31" i="4"/>
  <c r="Y31" i="4"/>
  <c r="X31" i="4"/>
  <c r="N31" i="4"/>
  <c r="AA30" i="4"/>
  <c r="Y30" i="4"/>
  <c r="X30" i="4"/>
  <c r="N30" i="4"/>
  <c r="AA29" i="4"/>
  <c r="Y29" i="4"/>
  <c r="X29" i="4"/>
  <c r="N29" i="4"/>
  <c r="AA28" i="4"/>
  <c r="Y28" i="4"/>
  <c r="X28" i="4"/>
  <c r="N28" i="4"/>
  <c r="AA27" i="4"/>
  <c r="Y27" i="4"/>
  <c r="X27" i="4"/>
  <c r="N27" i="4"/>
  <c r="AA26" i="4"/>
  <c r="Y26" i="4"/>
  <c r="X26" i="4"/>
  <c r="N26" i="4"/>
  <c r="AA25" i="4"/>
  <c r="Y25" i="4"/>
  <c r="X25" i="4"/>
  <c r="N25" i="4"/>
  <c r="AA24" i="4"/>
  <c r="Y24" i="4"/>
  <c r="X24" i="4"/>
  <c r="N24" i="4"/>
  <c r="AA23" i="4"/>
  <c r="Y23" i="4"/>
  <c r="X23" i="4"/>
  <c r="N23" i="4"/>
  <c r="AA22" i="4"/>
  <c r="Y22" i="4"/>
  <c r="X22" i="4"/>
  <c r="AA21" i="4"/>
  <c r="Y21" i="4"/>
  <c r="X21" i="4"/>
  <c r="N21" i="4"/>
  <c r="AA20" i="4"/>
  <c r="Y20" i="4"/>
  <c r="X20" i="4"/>
  <c r="N20" i="4"/>
  <c r="AA19" i="4"/>
  <c r="Y19" i="4"/>
  <c r="X19" i="4"/>
  <c r="N19" i="4"/>
  <c r="AA18" i="4"/>
  <c r="Y18" i="4"/>
  <c r="X18" i="4"/>
  <c r="N18" i="4"/>
  <c r="AA17" i="4"/>
  <c r="Y17" i="4"/>
  <c r="X17" i="4"/>
  <c r="N17" i="4"/>
  <c r="AA16" i="4"/>
  <c r="Y16" i="4"/>
  <c r="X16" i="4"/>
  <c r="N16" i="4"/>
  <c r="AA15" i="4"/>
  <c r="Y15" i="4"/>
  <c r="X15" i="4"/>
  <c r="N15" i="4"/>
  <c r="AA14" i="4"/>
  <c r="Y14" i="4"/>
  <c r="X14" i="4"/>
  <c r="N14" i="4"/>
  <c r="AA13" i="4"/>
  <c r="Y13" i="4"/>
  <c r="X13" i="4"/>
  <c r="N13" i="4"/>
  <c r="AA12" i="4"/>
  <c r="Y12" i="4"/>
  <c r="X12" i="4"/>
  <c r="N12" i="4"/>
  <c r="AA11" i="4"/>
  <c r="Y11" i="4"/>
  <c r="X11" i="4"/>
  <c r="N11" i="4"/>
  <c r="AA10" i="4"/>
  <c r="Y10" i="4"/>
  <c r="X10" i="4"/>
  <c r="N10" i="4"/>
  <c r="AA9" i="4"/>
  <c r="Y9" i="4"/>
  <c r="X9" i="4"/>
  <c r="N9" i="4"/>
  <c r="AA8" i="4"/>
  <c r="Y8" i="4"/>
  <c r="X8" i="4"/>
  <c r="N8" i="4"/>
  <c r="AA7" i="4"/>
  <c r="Y7" i="4"/>
  <c r="X7" i="4"/>
  <c r="N7" i="4"/>
  <c r="R1" i="4"/>
  <c r="AA43" i="5" l="1"/>
  <c r="AO43" i="5" s="1"/>
  <c r="AA18" i="5"/>
  <c r="AO18" i="5" s="1"/>
  <c r="AA42" i="5"/>
  <c r="AO42" i="5" s="1"/>
  <c r="AA53" i="5"/>
  <c r="AO53" i="5" s="1"/>
  <c r="AA10" i="5"/>
  <c r="AC10" i="5" s="1"/>
  <c r="AL10" i="5" s="1"/>
  <c r="AA33" i="5"/>
  <c r="AC33" i="5" s="1"/>
  <c r="AL33" i="5" s="1"/>
  <c r="AA9" i="5"/>
  <c r="AC9" i="5" s="1"/>
  <c r="AL9" i="5" s="1"/>
  <c r="X50" i="5"/>
  <c r="X49" i="5"/>
  <c r="X48" i="5"/>
  <c r="X37" i="5"/>
  <c r="X27" i="5"/>
  <c r="X23" i="5"/>
  <c r="AA23" i="5" s="1"/>
  <c r="AC23" i="5" s="1"/>
  <c r="AL23" i="5" s="1"/>
  <c r="X54" i="5"/>
  <c r="X26" i="5"/>
  <c r="X34" i="5"/>
  <c r="AA34" i="5" s="1"/>
  <c r="AC34" i="5" s="1"/>
  <c r="AL34" i="5" s="1"/>
  <c r="X51" i="5"/>
  <c r="X25" i="5"/>
  <c r="X46" i="5"/>
  <c r="AA46" i="5" s="1"/>
  <c r="AC46" i="5" s="1"/>
  <c r="AL46" i="5" s="1"/>
  <c r="X13" i="5"/>
  <c r="X47" i="5"/>
  <c r="AA47" i="5" s="1"/>
  <c r="AC47" i="5" s="1"/>
  <c r="AL47" i="5" s="1"/>
  <c r="X14" i="5"/>
  <c r="X39" i="5"/>
  <c r="X12" i="5"/>
  <c r="X15" i="5"/>
  <c r="X11" i="5"/>
  <c r="AA11" i="5" s="1"/>
  <c r="AC11" i="5" s="1"/>
  <c r="AL11" i="5" s="1"/>
  <c r="X36" i="5"/>
  <c r="X38" i="5"/>
  <c r="X31" i="5"/>
  <c r="X41" i="5"/>
  <c r="AA41" i="5" s="1"/>
  <c r="AO41" i="5" s="1"/>
  <c r="X29" i="5"/>
  <c r="AA29" i="5" s="1"/>
  <c r="AO29" i="5" s="1"/>
  <c r="X17" i="5"/>
  <c r="AA17" i="5" s="1"/>
  <c r="AO17" i="5" s="1"/>
  <c r="X19" i="5"/>
  <c r="X30" i="5"/>
  <c r="X52" i="5"/>
  <c r="AA52" i="5" s="1"/>
  <c r="AO52" i="5" s="1"/>
  <c r="X40" i="5"/>
  <c r="AA40" i="5" s="1"/>
  <c r="AO40" i="5" s="1"/>
  <c r="X28" i="5"/>
  <c r="AA28" i="5" s="1"/>
  <c r="AO28" i="5" s="1"/>
  <c r="X16" i="5"/>
  <c r="AA16" i="5" s="1"/>
  <c r="AO16" i="5" s="1"/>
  <c r="X24" i="5"/>
  <c r="X35" i="5"/>
  <c r="AA35" i="5" s="1"/>
  <c r="AC35" i="5" s="1"/>
  <c r="X22" i="5"/>
  <c r="AA22" i="5" s="1"/>
  <c r="AC22" i="5" s="1"/>
  <c r="AL22" i="5" s="1"/>
  <c r="X45" i="5"/>
  <c r="AA45" i="5" s="1"/>
  <c r="AC45" i="5" s="1"/>
  <c r="AL45" i="5" s="1"/>
  <c r="X21" i="5"/>
  <c r="AA21" i="5" s="1"/>
  <c r="AC21" i="5" s="1"/>
  <c r="AL21" i="5" s="1"/>
  <c r="X44" i="5"/>
  <c r="AA44" i="5" s="1"/>
  <c r="AC44" i="5" s="1"/>
  <c r="AL44" i="5" s="1"/>
  <c r="X32" i="5"/>
  <c r="AA32" i="5" s="1"/>
  <c r="AC32" i="5" s="1"/>
  <c r="AL32" i="5" s="1"/>
  <c r="X20" i="5"/>
  <c r="AA20" i="5" s="1"/>
  <c r="AC20" i="5" s="1"/>
  <c r="AL20" i="5" s="1"/>
  <c r="X8" i="5"/>
  <c r="AA8" i="5" s="1"/>
  <c r="AC8" i="5" s="1"/>
  <c r="AL8" i="5" s="1"/>
  <c r="X7" i="5"/>
  <c r="AA7" i="5" s="1"/>
  <c r="AC7" i="5" s="1"/>
  <c r="AL7" i="5" s="1"/>
  <c r="AS14" i="6"/>
  <c r="AS13" i="6"/>
  <c r="AS23" i="6"/>
  <c r="AS33" i="6"/>
  <c r="AS44" i="6"/>
  <c r="AS49" i="6"/>
  <c r="AS54" i="6"/>
  <c r="AS19" i="6"/>
  <c r="AS41" i="6"/>
  <c r="AS52" i="6"/>
  <c r="AS21" i="6"/>
  <c r="AS51" i="6"/>
  <c r="AS12" i="6"/>
  <c r="AS30" i="6"/>
  <c r="AS38" i="6"/>
  <c r="AS8" i="6"/>
  <c r="AS20" i="6"/>
  <c r="AS39" i="6"/>
  <c r="AS42" i="6"/>
  <c r="AS27" i="6"/>
  <c r="AS43" i="6"/>
  <c r="AS18" i="6"/>
  <c r="AS22" i="6"/>
  <c r="AS48" i="6"/>
  <c r="AS50" i="6"/>
  <c r="AS9" i="6"/>
  <c r="AS53" i="6"/>
  <c r="AS45" i="6"/>
  <c r="AS24" i="6"/>
  <c r="AS25" i="6"/>
  <c r="AS31" i="6"/>
  <c r="AS46" i="6"/>
  <c r="AS36" i="6"/>
  <c r="AJ10" i="6"/>
  <c r="AI55" i="6"/>
  <c r="AJ53" i="6"/>
  <c r="AK4" i="6"/>
  <c r="AL4" i="6"/>
  <c r="AS32" i="6"/>
  <c r="AS40" i="6"/>
  <c r="AS34" i="6"/>
  <c r="AS17" i="6"/>
  <c r="AS37" i="6"/>
  <c r="AN55" i="6"/>
  <c r="AS11" i="6"/>
  <c r="AP7" i="6"/>
  <c r="AJ9" i="6"/>
  <c r="AI4" i="6"/>
  <c r="H14" i="4"/>
  <c r="H42" i="4"/>
  <c r="H41" i="4"/>
  <c r="H13" i="4"/>
  <c r="O48" i="4"/>
  <c r="H23" i="4"/>
  <c r="R53" i="4"/>
  <c r="AQ53" i="5" s="1"/>
  <c r="H45" i="4"/>
  <c r="H33" i="4"/>
  <c r="H9" i="4"/>
  <c r="Q30" i="4"/>
  <c r="AP30" i="5" s="1"/>
  <c r="I21" i="4"/>
  <c r="J21" i="4" s="1"/>
  <c r="H49" i="4"/>
  <c r="H37" i="4"/>
  <c r="O26" i="4"/>
  <c r="H32" i="4"/>
  <c r="H8" i="4"/>
  <c r="K8" i="4"/>
  <c r="L44" i="4"/>
  <c r="L8" i="4"/>
  <c r="R30" i="4"/>
  <c r="AQ30" i="5" s="1"/>
  <c r="K31" i="4"/>
  <c r="K43" i="4"/>
  <c r="O30" i="4"/>
  <c r="L43" i="4"/>
  <c r="K13" i="4"/>
  <c r="K17" i="4"/>
  <c r="P26" i="4"/>
  <c r="AN26" i="5" s="1"/>
  <c r="P30" i="4"/>
  <c r="AN30" i="5" s="1"/>
  <c r="L13" i="4"/>
  <c r="L17" i="4"/>
  <c r="Q26" i="4"/>
  <c r="AP26" i="5" s="1"/>
  <c r="R26" i="4"/>
  <c r="AQ26" i="5" s="1"/>
  <c r="L42" i="4"/>
  <c r="K44" i="4"/>
  <c r="P53" i="4"/>
  <c r="AN53" i="5" s="1"/>
  <c r="P43" i="4"/>
  <c r="AN43" i="5" s="1"/>
  <c r="I43" i="4"/>
  <c r="J43" i="4" s="1"/>
  <c r="O43" i="4"/>
  <c r="Q43" i="4"/>
  <c r="AP43" i="5" s="1"/>
  <c r="Q18" i="4"/>
  <c r="AP18" i="5" s="1"/>
  <c r="P18" i="4"/>
  <c r="AN18" i="5" s="1"/>
  <c r="O18" i="4"/>
  <c r="K12" i="4"/>
  <c r="L12" i="4"/>
  <c r="L21" i="4"/>
  <c r="K32" i="4"/>
  <c r="L32" i="4"/>
  <c r="K38" i="4"/>
  <c r="L14" i="4"/>
  <c r="K26" i="4"/>
  <c r="L38" i="4"/>
  <c r="L51" i="4"/>
  <c r="L53" i="4"/>
  <c r="K21" i="4"/>
  <c r="L49" i="4"/>
  <c r="K18" i="4"/>
  <c r="P21" i="4"/>
  <c r="AN21" i="5" s="1"/>
  <c r="L18" i="4"/>
  <c r="K53" i="4"/>
  <c r="L26" i="4"/>
  <c r="K49" i="4"/>
  <c r="K30" i="4"/>
  <c r="Q53" i="4"/>
  <c r="AP53" i="5" s="1"/>
  <c r="L30" i="4"/>
  <c r="L31" i="4"/>
  <c r="O54" i="4"/>
  <c r="P54" i="4"/>
  <c r="AN54" i="5" s="1"/>
  <c r="R54" i="4"/>
  <c r="AQ54" i="5" s="1"/>
  <c r="Q54" i="4"/>
  <c r="AP54" i="5" s="1"/>
  <c r="I54" i="4"/>
  <c r="J54" i="4" s="1"/>
  <c r="L35" i="4"/>
  <c r="K35" i="4"/>
  <c r="J35" i="4"/>
  <c r="K16" i="4"/>
  <c r="L16" i="4"/>
  <c r="O7" i="4"/>
  <c r="Q7" i="4"/>
  <c r="AP7" i="5" s="1"/>
  <c r="R7" i="4"/>
  <c r="AQ7" i="5" s="1"/>
  <c r="I7" i="4"/>
  <c r="J7" i="4" s="1"/>
  <c r="L34" i="4"/>
  <c r="K34" i="4"/>
  <c r="L24" i="4"/>
  <c r="K24" i="4"/>
  <c r="O40" i="4"/>
  <c r="Q40" i="4"/>
  <c r="AP40" i="5" s="1"/>
  <c r="R40" i="4"/>
  <c r="AQ40" i="5" s="1"/>
  <c r="I40" i="4"/>
  <c r="J40" i="4" s="1"/>
  <c r="P40" i="4"/>
  <c r="AN40" i="5" s="1"/>
  <c r="N58" i="4"/>
  <c r="P7" i="4"/>
  <c r="AN7" i="5" s="1"/>
  <c r="L39" i="4"/>
  <c r="P12" i="4"/>
  <c r="AN12" i="5" s="1"/>
  <c r="R12" i="4"/>
  <c r="AQ12" i="5" s="1"/>
  <c r="Q12" i="4"/>
  <c r="AP12" i="5" s="1"/>
  <c r="O12" i="4"/>
  <c r="I12" i="4"/>
  <c r="J12" i="4" s="1"/>
  <c r="K19" i="4"/>
  <c r="L19" i="4"/>
  <c r="L27" i="4"/>
  <c r="K27" i="4"/>
  <c r="AA58" i="4"/>
  <c r="K20" i="4"/>
  <c r="L29" i="4"/>
  <c r="K29" i="4"/>
  <c r="L46" i="4"/>
  <c r="K46" i="4"/>
  <c r="L40" i="4"/>
  <c r="L54" i="4"/>
  <c r="K54" i="4"/>
  <c r="L47" i="4"/>
  <c r="K47" i="4"/>
  <c r="R48" i="4"/>
  <c r="AQ48" i="5" s="1"/>
  <c r="L7" i="4"/>
  <c r="K7" i="4"/>
  <c r="D58" i="4"/>
  <c r="K39" i="4"/>
  <c r="K40" i="4"/>
  <c r="I48" i="4"/>
  <c r="J48" i="4" s="1"/>
  <c r="L52" i="4"/>
  <c r="K52" i="4"/>
  <c r="O21" i="4"/>
  <c r="R21" i="4"/>
  <c r="AQ21" i="5" s="1"/>
  <c r="Q21" i="4"/>
  <c r="AP21" i="5" s="1"/>
  <c r="L20" i="4"/>
  <c r="K28" i="4"/>
  <c r="P48" i="4"/>
  <c r="AN48" i="5" s="1"/>
  <c r="L10" i="4"/>
  <c r="K10" i="4"/>
  <c r="L28" i="4"/>
  <c r="K37" i="4"/>
  <c r="Q48" i="4"/>
  <c r="AP48" i="5" s="1"/>
  <c r="K51" i="4"/>
  <c r="L11" i="4"/>
  <c r="K11" i="4"/>
  <c r="L36" i="4"/>
  <c r="K36" i="4"/>
  <c r="J36" i="4"/>
  <c r="L50" i="4"/>
  <c r="K50" i="4"/>
  <c r="I30" i="4"/>
  <c r="J30" i="4" s="1"/>
  <c r="L15" i="4"/>
  <c r="K15" i="4"/>
  <c r="I26" i="4"/>
  <c r="J26" i="4" s="1"/>
  <c r="L45" i="4"/>
  <c r="K41" i="4"/>
  <c r="R43" i="4"/>
  <c r="AQ43" i="5" s="1"/>
  <c r="O53" i="4"/>
  <c r="I53" i="4"/>
  <c r="J53" i="4" s="1"/>
  <c r="L23" i="4"/>
  <c r="K23" i="4"/>
  <c r="K9" i="4"/>
  <c r="R18" i="4"/>
  <c r="AQ18" i="5" s="1"/>
  <c r="I18" i="4"/>
  <c r="J18" i="4" s="1"/>
  <c r="L22" i="4"/>
  <c r="K22" i="4"/>
  <c r="L25" i="4"/>
  <c r="K25" i="4"/>
  <c r="K33" i="4"/>
  <c r="L48" i="4"/>
  <c r="K48" i="4"/>
  <c r="AO9" i="5" l="1"/>
  <c r="AO20" i="5"/>
  <c r="AO32" i="5"/>
  <c r="AO44" i="5"/>
  <c r="AO22" i="5"/>
  <c r="AO21" i="5"/>
  <c r="AO33" i="5"/>
  <c r="AO45" i="5"/>
  <c r="AO10" i="5"/>
  <c r="AO11" i="5"/>
  <c r="AO23" i="5"/>
  <c r="AO8" i="5"/>
  <c r="AO47" i="5"/>
  <c r="AO34" i="5"/>
  <c r="AO46" i="5"/>
  <c r="AO35" i="5"/>
  <c r="AO7" i="5"/>
  <c r="AJ33" i="5"/>
  <c r="AJ8" i="5"/>
  <c r="AJ20" i="5"/>
  <c r="AJ9" i="5"/>
  <c r="AJ21" i="5"/>
  <c r="AJ34" i="5"/>
  <c r="AJ11" i="5"/>
  <c r="AJ23" i="5"/>
  <c r="AC41" i="5"/>
  <c r="AL41" i="5" s="1"/>
  <c r="AJ41" i="5"/>
  <c r="AC53" i="5"/>
  <c r="AL53" i="5" s="1"/>
  <c r="AJ53" i="5"/>
  <c r="AC42" i="5"/>
  <c r="AL42" i="5" s="1"/>
  <c r="AJ42" i="5"/>
  <c r="AC16" i="5"/>
  <c r="AL16" i="5" s="1"/>
  <c r="AJ16" i="5"/>
  <c r="AC18" i="5"/>
  <c r="AL18" i="5" s="1"/>
  <c r="AJ18" i="5"/>
  <c r="AC28" i="5"/>
  <c r="AL28" i="5" s="1"/>
  <c r="AJ28" i="5"/>
  <c r="AC43" i="5"/>
  <c r="AL43" i="5" s="1"/>
  <c r="AJ43" i="5"/>
  <c r="AJ32" i="5"/>
  <c r="AC40" i="5"/>
  <c r="AL40" i="5" s="1"/>
  <c r="AJ40" i="5"/>
  <c r="AJ44" i="5"/>
  <c r="AJ47" i="5"/>
  <c r="AC52" i="5"/>
  <c r="AL52" i="5" s="1"/>
  <c r="AJ52" i="5"/>
  <c r="AJ22" i="5"/>
  <c r="AJ46" i="5"/>
  <c r="AC17" i="5"/>
  <c r="AL17" i="5" s="1"/>
  <c r="AJ17" i="5"/>
  <c r="AC29" i="5"/>
  <c r="AL29" i="5" s="1"/>
  <c r="AJ29" i="5"/>
  <c r="AJ45" i="5"/>
  <c r="AJ10" i="5"/>
  <c r="AJ7" i="5"/>
  <c r="AF9" i="5"/>
  <c r="AD9" i="5" s="1"/>
  <c r="AG9" i="5"/>
  <c r="AG34" i="5"/>
  <c r="AG11" i="5"/>
  <c r="AG21" i="5"/>
  <c r="AG33" i="5"/>
  <c r="AG45" i="5"/>
  <c r="AG10" i="5"/>
  <c r="AG22" i="5"/>
  <c r="AG8" i="5"/>
  <c r="AG20" i="5"/>
  <c r="AG32" i="5"/>
  <c r="AG35" i="5"/>
  <c r="AG23" i="5"/>
  <c r="AG44" i="5"/>
  <c r="AG47" i="5"/>
  <c r="AG46" i="5"/>
  <c r="AA12" i="5"/>
  <c r="AO12" i="5" s="1"/>
  <c r="AA27" i="5"/>
  <c r="AO27" i="5" s="1"/>
  <c r="AA39" i="5"/>
  <c r="AO39" i="5" s="1"/>
  <c r="AA37" i="5"/>
  <c r="AO37" i="5" s="1"/>
  <c r="AA30" i="5"/>
  <c r="AO30" i="5" s="1"/>
  <c r="AA48" i="5"/>
  <c r="AO48" i="5" s="1"/>
  <c r="AA19" i="5"/>
  <c r="AO19" i="5" s="1"/>
  <c r="AA49" i="5"/>
  <c r="AO49" i="5" s="1"/>
  <c r="AA15" i="5"/>
  <c r="AO15" i="5" s="1"/>
  <c r="AA14" i="5"/>
  <c r="AO14" i="5" s="1"/>
  <c r="AA13" i="5"/>
  <c r="AO13" i="5" s="1"/>
  <c r="AA50" i="5"/>
  <c r="AO50" i="5" s="1"/>
  <c r="AA25" i="5"/>
  <c r="AO25" i="5" s="1"/>
  <c r="AA31" i="5"/>
  <c r="AO31" i="5" s="1"/>
  <c r="AA51" i="5"/>
  <c r="AO51" i="5" s="1"/>
  <c r="AA38" i="5"/>
  <c r="AO38" i="5" s="1"/>
  <c r="AA24" i="5"/>
  <c r="AO24" i="5" s="1"/>
  <c r="AA36" i="5"/>
  <c r="AO36" i="5" s="1"/>
  <c r="AA26" i="5"/>
  <c r="AO26" i="5" s="1"/>
  <c r="AA54" i="5"/>
  <c r="AO54" i="5" s="1"/>
  <c r="AH47" i="5"/>
  <c r="AH21" i="5"/>
  <c r="AH53" i="5"/>
  <c r="AH52" i="5"/>
  <c r="AH45" i="5"/>
  <c r="AH18" i="5"/>
  <c r="AH16" i="5"/>
  <c r="AH42" i="5"/>
  <c r="AH11" i="5"/>
  <c r="AH20" i="5"/>
  <c r="AH8" i="5"/>
  <c r="AH46" i="5"/>
  <c r="AH10" i="5"/>
  <c r="AH9" i="5"/>
  <c r="AH28" i="5"/>
  <c r="AH32" i="5"/>
  <c r="AH40" i="5"/>
  <c r="AH44" i="5"/>
  <c r="AH33" i="5"/>
  <c r="AH17" i="5"/>
  <c r="AH34" i="5"/>
  <c r="AH29" i="5"/>
  <c r="AH23" i="5"/>
  <c r="AH41" i="5"/>
  <c r="AH43" i="5"/>
  <c r="AH22" i="5"/>
  <c r="AH7" i="5"/>
  <c r="M18" i="4"/>
  <c r="M28" i="4"/>
  <c r="M21" i="4"/>
  <c r="M42" i="4"/>
  <c r="M34" i="4"/>
  <c r="M12" i="4"/>
  <c r="M10" i="4"/>
  <c r="M29" i="4"/>
  <c r="M39" i="4"/>
  <c r="M49" i="4"/>
  <c r="M50" i="4"/>
  <c r="M17" i="4"/>
  <c r="M44" i="4"/>
  <c r="M23" i="4"/>
  <c r="M31" i="4"/>
  <c r="M53" i="4"/>
  <c r="M13" i="4"/>
  <c r="M20" i="4"/>
  <c r="M30" i="4"/>
  <c r="M51" i="4"/>
  <c r="M48" i="4"/>
  <c r="M36" i="4"/>
  <c r="M27" i="4"/>
  <c r="M16" i="4"/>
  <c r="M38" i="4"/>
  <c r="M46" i="4"/>
  <c r="M24" i="4"/>
  <c r="M15" i="4"/>
  <c r="M19" i="4"/>
  <c r="M25" i="4"/>
  <c r="M45" i="4"/>
  <c r="M54" i="4"/>
  <c r="M26" i="4"/>
  <c r="M43" i="4"/>
  <c r="M22" i="4"/>
  <c r="M47" i="4"/>
  <c r="M11" i="4"/>
  <c r="M14" i="4"/>
  <c r="M52" i="4"/>
  <c r="M40" i="4"/>
  <c r="M35" i="4"/>
  <c r="M32" i="4"/>
  <c r="M8" i="4"/>
  <c r="O8" i="4"/>
  <c r="P32" i="4"/>
  <c r="AN32" i="5" s="1"/>
  <c r="I13" i="4"/>
  <c r="J13" i="4" s="1"/>
  <c r="Q49" i="4"/>
  <c r="AP49" i="5" s="1"/>
  <c r="R23" i="4"/>
  <c r="AQ23" i="5" s="1"/>
  <c r="AQ7" i="6"/>
  <c r="AP55" i="6"/>
  <c r="R49" i="4"/>
  <c r="AQ49" i="5" s="1"/>
  <c r="I49" i="4"/>
  <c r="J49" i="4" s="1"/>
  <c r="P49" i="4"/>
  <c r="AN49" i="5" s="1"/>
  <c r="R8" i="4"/>
  <c r="AQ8" i="5" s="1"/>
  <c r="Q8" i="4"/>
  <c r="AP8" i="5" s="1"/>
  <c r="P13" i="4"/>
  <c r="AN13" i="5" s="1"/>
  <c r="Q32" i="4"/>
  <c r="AP32" i="5" s="1"/>
  <c r="O13" i="4"/>
  <c r="Q13" i="4"/>
  <c r="AP13" i="5" s="1"/>
  <c r="R13" i="4"/>
  <c r="AQ13" i="5" s="1"/>
  <c r="I32" i="4"/>
  <c r="J32" i="4" s="1"/>
  <c r="I23" i="4"/>
  <c r="J23" i="4" s="1"/>
  <c r="O23" i="4"/>
  <c r="O49" i="4"/>
  <c r="I8" i="4"/>
  <c r="J8" i="4" s="1"/>
  <c r="Q23" i="4"/>
  <c r="AP23" i="5" s="1"/>
  <c r="P8" i="4"/>
  <c r="AN8" i="5" s="1"/>
  <c r="P23" i="4"/>
  <c r="AN23" i="5" s="1"/>
  <c r="R32" i="4"/>
  <c r="AQ32" i="5" s="1"/>
  <c r="O32" i="4"/>
  <c r="Q42" i="4"/>
  <c r="AP42" i="5" s="1"/>
  <c r="I15" i="4"/>
  <c r="J15" i="4" s="1"/>
  <c r="I14" i="4"/>
  <c r="J14" i="4" s="1"/>
  <c r="R38" i="4"/>
  <c r="AQ38" i="5" s="1"/>
  <c r="R44" i="4"/>
  <c r="AQ44" i="5" s="1"/>
  <c r="R31" i="4"/>
  <c r="AQ31" i="5" s="1"/>
  <c r="P42" i="4"/>
  <c r="AN42" i="5" s="1"/>
  <c r="O31" i="4"/>
  <c r="R42" i="4"/>
  <c r="AQ42" i="5" s="1"/>
  <c r="P31" i="4"/>
  <c r="AN31" i="5" s="1"/>
  <c r="Q31" i="4"/>
  <c r="AP31" i="5" s="1"/>
  <c r="I31" i="4"/>
  <c r="I42" i="4"/>
  <c r="R14" i="4"/>
  <c r="AQ14" i="5" s="1"/>
  <c r="O14" i="4"/>
  <c r="O42" i="4"/>
  <c r="P44" i="4"/>
  <c r="AN44" i="5" s="1"/>
  <c r="H58" i="4"/>
  <c r="I38" i="4"/>
  <c r="O44" i="4"/>
  <c r="I44" i="4"/>
  <c r="Q44" i="4"/>
  <c r="AP44" i="5" s="1"/>
  <c r="O17" i="4"/>
  <c r="P17" i="4"/>
  <c r="AN17" i="5" s="1"/>
  <c r="Q17" i="4"/>
  <c r="AP17" i="5" s="1"/>
  <c r="Q15" i="4"/>
  <c r="AP15" i="5" s="1"/>
  <c r="R15" i="4"/>
  <c r="AQ15" i="5" s="1"/>
  <c r="P15" i="4"/>
  <c r="AN15" i="5" s="1"/>
  <c r="O15" i="4"/>
  <c r="I17" i="4"/>
  <c r="R17" i="4"/>
  <c r="AQ17" i="5" s="1"/>
  <c r="Q14" i="4"/>
  <c r="AP14" i="5" s="1"/>
  <c r="P14" i="4"/>
  <c r="AN14" i="5" s="1"/>
  <c r="Q38" i="4"/>
  <c r="AP38" i="5" s="1"/>
  <c r="P38" i="4"/>
  <c r="AN38" i="5" s="1"/>
  <c r="O38" i="4"/>
  <c r="O28" i="4"/>
  <c r="Q28" i="4"/>
  <c r="AP28" i="5" s="1"/>
  <c r="R28" i="4"/>
  <c r="AQ28" i="5" s="1"/>
  <c r="P28" i="4"/>
  <c r="AN28" i="5" s="1"/>
  <c r="I28" i="4"/>
  <c r="R27" i="4"/>
  <c r="AQ27" i="5" s="1"/>
  <c r="Q27" i="4"/>
  <c r="AP27" i="5" s="1"/>
  <c r="P27" i="4"/>
  <c r="AN27" i="5" s="1"/>
  <c r="O27" i="4"/>
  <c r="I27" i="4"/>
  <c r="J27" i="4" s="1"/>
  <c r="R24" i="4"/>
  <c r="AQ24" i="5" s="1"/>
  <c r="O24" i="4"/>
  <c r="Q24" i="4"/>
  <c r="AP24" i="5" s="1"/>
  <c r="P24" i="4"/>
  <c r="AN24" i="5" s="1"/>
  <c r="I24" i="4"/>
  <c r="R19" i="4"/>
  <c r="AQ19" i="5" s="1"/>
  <c r="O19" i="4"/>
  <c r="I19" i="4"/>
  <c r="Q19" i="4"/>
  <c r="AP19" i="5" s="1"/>
  <c r="P19" i="4"/>
  <c r="AN19" i="5" s="1"/>
  <c r="P11" i="4"/>
  <c r="AN11" i="5" s="1"/>
  <c r="O11" i="4"/>
  <c r="I11" i="4"/>
  <c r="R11" i="4"/>
  <c r="AQ11" i="5" s="1"/>
  <c r="Q11" i="4"/>
  <c r="AP11" i="5" s="1"/>
  <c r="R45" i="4"/>
  <c r="AQ45" i="5" s="1"/>
  <c r="Q45" i="4"/>
  <c r="AP45" i="5" s="1"/>
  <c r="I45" i="4"/>
  <c r="P45" i="4"/>
  <c r="AN45" i="5" s="1"/>
  <c r="O45" i="4"/>
  <c r="P47" i="4"/>
  <c r="AN47" i="5" s="1"/>
  <c r="O47" i="4"/>
  <c r="R47" i="4"/>
  <c r="AQ47" i="5" s="1"/>
  <c r="Q47" i="4"/>
  <c r="AP47" i="5" s="1"/>
  <c r="I47" i="4"/>
  <c r="R34" i="4"/>
  <c r="AQ34" i="5" s="1"/>
  <c r="Q34" i="4"/>
  <c r="AP34" i="5" s="1"/>
  <c r="P34" i="4"/>
  <c r="AN34" i="5" s="1"/>
  <c r="O34" i="4"/>
  <c r="I34" i="4"/>
  <c r="P51" i="4"/>
  <c r="AN51" i="5" s="1"/>
  <c r="O51" i="4"/>
  <c r="Q51" i="4"/>
  <c r="AP51" i="5" s="1"/>
  <c r="R51" i="4"/>
  <c r="AQ51" i="5" s="1"/>
  <c r="I51" i="4"/>
  <c r="R35" i="4"/>
  <c r="AQ35" i="5" s="1"/>
  <c r="P35" i="4"/>
  <c r="AN35" i="5" s="1"/>
  <c r="Q35" i="4"/>
  <c r="AP35" i="5" s="1"/>
  <c r="O35" i="4"/>
  <c r="R25" i="4"/>
  <c r="AQ25" i="5" s="1"/>
  <c r="O25" i="4"/>
  <c r="Q25" i="4"/>
  <c r="AP25" i="5" s="1"/>
  <c r="P25" i="4"/>
  <c r="AN25" i="5" s="1"/>
  <c r="I25" i="4"/>
  <c r="I41" i="4"/>
  <c r="Q41" i="4"/>
  <c r="AP41" i="5" s="1"/>
  <c r="R41" i="4"/>
  <c r="AQ41" i="5" s="1"/>
  <c r="O41" i="4"/>
  <c r="P41" i="4"/>
  <c r="AN41" i="5" s="1"/>
  <c r="Q39" i="4"/>
  <c r="AP39" i="5" s="1"/>
  <c r="P39" i="4"/>
  <c r="AN39" i="5" s="1"/>
  <c r="O39" i="4"/>
  <c r="R39" i="4"/>
  <c r="AQ39" i="5" s="1"/>
  <c r="I39" i="4"/>
  <c r="R9" i="4"/>
  <c r="AQ9" i="5" s="1"/>
  <c r="Q9" i="4"/>
  <c r="AP9" i="5" s="1"/>
  <c r="P9" i="4"/>
  <c r="AN9" i="5" s="1"/>
  <c r="I9" i="4"/>
  <c r="J9" i="4" s="1"/>
  <c r="S9" i="4" s="1"/>
  <c r="O9" i="4"/>
  <c r="O10" i="4"/>
  <c r="Q10" i="4"/>
  <c r="AP10" i="5" s="1"/>
  <c r="I10" i="4"/>
  <c r="R10" i="4"/>
  <c r="AQ10" i="5" s="1"/>
  <c r="P10" i="4"/>
  <c r="AN10" i="5" s="1"/>
  <c r="Q22" i="4"/>
  <c r="AP22" i="5" s="1"/>
  <c r="I22" i="4"/>
  <c r="R22" i="4"/>
  <c r="AQ22" i="5" s="1"/>
  <c r="O22" i="4"/>
  <c r="P22" i="4"/>
  <c r="AN22" i="5" s="1"/>
  <c r="K58" i="4"/>
  <c r="Q33" i="4"/>
  <c r="AP33" i="5" s="1"/>
  <c r="I33" i="4"/>
  <c r="R33" i="4"/>
  <c r="AQ33" i="5" s="1"/>
  <c r="O33" i="4"/>
  <c r="P33" i="4"/>
  <c r="AN33" i="5" s="1"/>
  <c r="P46" i="4"/>
  <c r="AN46" i="5" s="1"/>
  <c r="O46" i="4"/>
  <c r="Q46" i="4"/>
  <c r="AP46" i="5" s="1"/>
  <c r="R46" i="4"/>
  <c r="AQ46" i="5" s="1"/>
  <c r="I46" i="4"/>
  <c r="L58" i="4"/>
  <c r="M7" i="4"/>
  <c r="I29" i="4"/>
  <c r="Q29" i="4"/>
  <c r="AP29" i="5" s="1"/>
  <c r="P29" i="4"/>
  <c r="AN29" i="5" s="1"/>
  <c r="R29" i="4"/>
  <c r="AQ29" i="5" s="1"/>
  <c r="O29" i="4"/>
  <c r="R20" i="4"/>
  <c r="AQ20" i="5" s="1"/>
  <c r="Q20" i="4"/>
  <c r="AP20" i="5" s="1"/>
  <c r="P20" i="4"/>
  <c r="AN20" i="5" s="1"/>
  <c r="O20" i="4"/>
  <c r="I20" i="4"/>
  <c r="I37" i="4"/>
  <c r="Q37" i="4"/>
  <c r="AP37" i="5" s="1"/>
  <c r="R37" i="4"/>
  <c r="AQ37" i="5" s="1"/>
  <c r="P37" i="4"/>
  <c r="AN37" i="5" s="1"/>
  <c r="O37" i="4"/>
  <c r="R50" i="4"/>
  <c r="AQ50" i="5" s="1"/>
  <c r="Q50" i="4"/>
  <c r="AP50" i="5" s="1"/>
  <c r="O50" i="4"/>
  <c r="I50" i="4"/>
  <c r="P50" i="4"/>
  <c r="AN50" i="5" s="1"/>
  <c r="P36" i="4"/>
  <c r="AN36" i="5" s="1"/>
  <c r="Q36" i="4"/>
  <c r="AP36" i="5" s="1"/>
  <c r="O36" i="4"/>
  <c r="R36" i="4"/>
  <c r="AQ36" i="5" s="1"/>
  <c r="O52" i="4"/>
  <c r="R52" i="4"/>
  <c r="AQ52" i="5" s="1"/>
  <c r="P52" i="4"/>
  <c r="AN52" i="5" s="1"/>
  <c r="I52" i="4"/>
  <c r="Q52" i="4"/>
  <c r="AP52" i="5" s="1"/>
  <c r="I16" i="4"/>
  <c r="P16" i="4"/>
  <c r="AN16" i="5" s="1"/>
  <c r="O16" i="4"/>
  <c r="Q16" i="4"/>
  <c r="AP16" i="5" s="1"/>
  <c r="R16" i="4"/>
  <c r="AQ16" i="5" s="1"/>
  <c r="AG43" i="5" l="1"/>
  <c r="AG17" i="5"/>
  <c r="AG18" i="5"/>
  <c r="AC36" i="5"/>
  <c r="AC12" i="5"/>
  <c r="AK12" i="5"/>
  <c r="AC48" i="5"/>
  <c r="AK48" i="5"/>
  <c r="AC31" i="5"/>
  <c r="AK31" i="5"/>
  <c r="AC38" i="5"/>
  <c r="AK38" i="5"/>
  <c r="AC37" i="5"/>
  <c r="AK37" i="5"/>
  <c r="AC19" i="5"/>
  <c r="AL19" i="5" s="1"/>
  <c r="AJ19" i="5"/>
  <c r="AC51" i="5"/>
  <c r="AL51" i="5" s="1"/>
  <c r="AJ51" i="5"/>
  <c r="AC39" i="5"/>
  <c r="AL39" i="5" s="1"/>
  <c r="AJ39" i="5"/>
  <c r="AC27" i="5"/>
  <c r="AL27" i="5" s="1"/>
  <c r="AJ27" i="5"/>
  <c r="AC25" i="5"/>
  <c r="AL25" i="5" s="1"/>
  <c r="AJ25" i="5"/>
  <c r="AC50" i="5"/>
  <c r="AL50" i="5" s="1"/>
  <c r="AJ50" i="5"/>
  <c r="AC26" i="5"/>
  <c r="AL26" i="5" s="1"/>
  <c r="AJ26" i="5"/>
  <c r="AC30" i="5"/>
  <c r="AL30" i="5" s="1"/>
  <c r="AJ30" i="5"/>
  <c r="AC13" i="5"/>
  <c r="AL13" i="5" s="1"/>
  <c r="AJ13" i="5"/>
  <c r="AC24" i="5"/>
  <c r="AL24" i="5" s="1"/>
  <c r="AJ24" i="5"/>
  <c r="AC14" i="5"/>
  <c r="AL14" i="5" s="1"/>
  <c r="AJ14" i="5"/>
  <c r="AC15" i="5"/>
  <c r="AL15" i="5" s="1"/>
  <c r="AJ15" i="5"/>
  <c r="AC54" i="5"/>
  <c r="AL54" i="5" s="1"/>
  <c r="AJ54" i="5"/>
  <c r="AC49" i="5"/>
  <c r="AL49" i="5" s="1"/>
  <c r="AJ49" i="5"/>
  <c r="AF42" i="5"/>
  <c r="AD42" i="5" s="1"/>
  <c r="AG42" i="5"/>
  <c r="AF53" i="5"/>
  <c r="AD53" i="5" s="1"/>
  <c r="AG53" i="5"/>
  <c r="AF41" i="5"/>
  <c r="AD41" i="5" s="1"/>
  <c r="AG41" i="5"/>
  <c r="AF52" i="5"/>
  <c r="AD52" i="5" s="1"/>
  <c r="AG52" i="5"/>
  <c r="AF40" i="5"/>
  <c r="AD40" i="5" s="1"/>
  <c r="AG40" i="5"/>
  <c r="AF28" i="5"/>
  <c r="AD28" i="5" s="1"/>
  <c r="AG28" i="5"/>
  <c r="AF16" i="5"/>
  <c r="AD16" i="5" s="1"/>
  <c r="AG16" i="5"/>
  <c r="AF29" i="5"/>
  <c r="AD29" i="5" s="1"/>
  <c r="AG29" i="5"/>
  <c r="AF7" i="5"/>
  <c r="AD7" i="5" s="1"/>
  <c r="AG7" i="5"/>
  <c r="AF43" i="5"/>
  <c r="AD43" i="5" s="1"/>
  <c r="AF22" i="5"/>
  <c r="AD22" i="5" s="1"/>
  <c r="AF10" i="5"/>
  <c r="AF18" i="5"/>
  <c r="AF45" i="5"/>
  <c r="AD45" i="5" s="1"/>
  <c r="AF46" i="5"/>
  <c r="AD46" i="5" s="1"/>
  <c r="AF33" i="5"/>
  <c r="AD33" i="5" s="1"/>
  <c r="AF47" i="5"/>
  <c r="AF21" i="5"/>
  <c r="AD21" i="5" s="1"/>
  <c r="AF44" i="5"/>
  <c r="AD44" i="5" s="1"/>
  <c r="AF11" i="5"/>
  <c r="AD11" i="5" s="1"/>
  <c r="AF23" i="5"/>
  <c r="AD23" i="5" s="1"/>
  <c r="AF34" i="5"/>
  <c r="AD34" i="5" s="1"/>
  <c r="AF35" i="5"/>
  <c r="AF32" i="5"/>
  <c r="AD32" i="5" s="1"/>
  <c r="AF17" i="5"/>
  <c r="AD17" i="5" s="1"/>
  <c r="AF20" i="5"/>
  <c r="AD20" i="5" s="1"/>
  <c r="AF8" i="5"/>
  <c r="AD8" i="5" s="1"/>
  <c r="AM9" i="5"/>
  <c r="AX9" i="5" s="1"/>
  <c r="AH14" i="5"/>
  <c r="AH39" i="5"/>
  <c r="AH25" i="5"/>
  <c r="AH30" i="5"/>
  <c r="AH26" i="5"/>
  <c r="AH54" i="5"/>
  <c r="AH27" i="5"/>
  <c r="AH24" i="5"/>
  <c r="AH49" i="5"/>
  <c r="AH19" i="5"/>
  <c r="AH50" i="5"/>
  <c r="AH51" i="5"/>
  <c r="AH15" i="5"/>
  <c r="AH13" i="5"/>
  <c r="S49" i="4"/>
  <c r="Z49" i="4" s="1"/>
  <c r="AF49" i="4" s="1"/>
  <c r="T53" i="4"/>
  <c r="U53" i="4" s="1"/>
  <c r="V53" i="4" s="1"/>
  <c r="T21" i="4"/>
  <c r="U21" i="4" s="1"/>
  <c r="V21" i="4" s="1"/>
  <c r="S15" i="4"/>
  <c r="Z15" i="4" s="1"/>
  <c r="AF15" i="4" s="1"/>
  <c r="S21" i="4"/>
  <c r="Z21" i="4" s="1"/>
  <c r="AF21" i="4" s="1"/>
  <c r="S26" i="4"/>
  <c r="Z26" i="4" s="1"/>
  <c r="AF26" i="4" s="1"/>
  <c r="S40" i="4"/>
  <c r="Z40" i="4" s="1"/>
  <c r="AF40" i="4" s="1"/>
  <c r="T48" i="4"/>
  <c r="U48" i="4" s="1"/>
  <c r="V48" i="4" s="1"/>
  <c r="T18" i="4"/>
  <c r="T30" i="4"/>
  <c r="U30" i="4" s="1"/>
  <c r="V30" i="4" s="1"/>
  <c r="T26" i="4"/>
  <c r="U26" i="4" s="1"/>
  <c r="V26" i="4" s="1"/>
  <c r="S48" i="4"/>
  <c r="Z48" i="4" s="1"/>
  <c r="AF48" i="4" s="1"/>
  <c r="S8" i="4"/>
  <c r="Z8" i="4" s="1"/>
  <c r="AF8" i="4" s="1"/>
  <c r="S43" i="4"/>
  <c r="Z43" i="4" s="1"/>
  <c r="AF43" i="4" s="1"/>
  <c r="T12" i="4"/>
  <c r="U12" i="4" s="1"/>
  <c r="V12" i="4" s="1"/>
  <c r="T54" i="4"/>
  <c r="S53" i="4"/>
  <c r="Z53" i="4" s="1"/>
  <c r="AF53" i="4" s="1"/>
  <c r="S13" i="4"/>
  <c r="Z13" i="4" s="1"/>
  <c r="AF13" i="4" s="1"/>
  <c r="S27" i="4"/>
  <c r="Z27" i="4" s="1"/>
  <c r="AF27" i="4" s="1"/>
  <c r="T40" i="4"/>
  <c r="U40" i="4" s="1"/>
  <c r="V40" i="4" s="1"/>
  <c r="S54" i="4"/>
  <c r="Z54" i="4" s="1"/>
  <c r="AF54" i="4" s="1"/>
  <c r="S12" i="4"/>
  <c r="Z12" i="4" s="1"/>
  <c r="AF12" i="4" s="1"/>
  <c r="S35" i="4"/>
  <c r="Z35" i="4" s="1"/>
  <c r="AF35" i="4" s="1"/>
  <c r="S30" i="4"/>
  <c r="Z30" i="4" s="1"/>
  <c r="AF30" i="4" s="1"/>
  <c r="S23" i="4"/>
  <c r="Z23" i="4" s="1"/>
  <c r="AF23" i="4" s="1"/>
  <c r="S18" i="4"/>
  <c r="Z18" i="4" s="1"/>
  <c r="AF18" i="4" s="1"/>
  <c r="S32" i="4"/>
  <c r="Z32" i="4" s="1"/>
  <c r="AF32" i="4" s="1"/>
  <c r="T43" i="4"/>
  <c r="U43" i="4" s="1"/>
  <c r="V43" i="4" s="1"/>
  <c r="S14" i="4"/>
  <c r="Z14" i="4" s="1"/>
  <c r="AF14" i="4" s="1"/>
  <c r="S36" i="4"/>
  <c r="Z36" i="4" s="1"/>
  <c r="AF36" i="4" s="1"/>
  <c r="M58" i="4"/>
  <c r="AQ55" i="6"/>
  <c r="AR7" i="6"/>
  <c r="T32" i="4"/>
  <c r="U32" i="4" s="1"/>
  <c r="V32" i="4" s="1"/>
  <c r="T13" i="4"/>
  <c r="U13" i="4" s="1"/>
  <c r="V13" i="4" s="1"/>
  <c r="T8" i="4"/>
  <c r="U8" i="4" s="1"/>
  <c r="V8" i="4" s="1"/>
  <c r="T49" i="4"/>
  <c r="U49" i="4" s="1"/>
  <c r="V49" i="4" s="1"/>
  <c r="T23" i="4"/>
  <c r="J24" i="4"/>
  <c r="S24" i="4" s="1"/>
  <c r="Z24" i="4" s="1"/>
  <c r="AF24" i="4" s="1"/>
  <c r="J50" i="4"/>
  <c r="S50" i="4" s="1"/>
  <c r="Z50" i="4" s="1"/>
  <c r="AF50" i="4" s="1"/>
  <c r="J31" i="4"/>
  <c r="S31" i="4" s="1"/>
  <c r="Z31" i="4" s="1"/>
  <c r="AF31" i="4" s="1"/>
  <c r="J39" i="4"/>
  <c r="S39" i="4" s="1"/>
  <c r="Z39" i="4" s="1"/>
  <c r="AF39" i="4" s="1"/>
  <c r="J22" i="4"/>
  <c r="S22" i="4" s="1"/>
  <c r="Z22" i="4" s="1"/>
  <c r="AF22" i="4" s="1"/>
  <c r="Z9" i="4"/>
  <c r="AF9" i="4" s="1"/>
  <c r="J34" i="4"/>
  <c r="S34" i="4" s="1"/>
  <c r="J51" i="4"/>
  <c r="S51" i="4" s="1"/>
  <c r="Z51" i="4" s="1"/>
  <c r="AF51" i="4" s="1"/>
  <c r="J52" i="4"/>
  <c r="S52" i="4" s="1"/>
  <c r="Z52" i="4" s="1"/>
  <c r="AF52" i="4" s="1"/>
  <c r="J38" i="4"/>
  <c r="S38" i="4" s="1"/>
  <c r="Z38" i="4" s="1"/>
  <c r="AF38" i="4" s="1"/>
  <c r="S7" i="4"/>
  <c r="J37" i="4"/>
  <c r="S37" i="4" s="1"/>
  <c r="Z37" i="4" s="1"/>
  <c r="AF37" i="4" s="1"/>
  <c r="J33" i="4"/>
  <c r="S33" i="4" s="1"/>
  <c r="Z33" i="4" s="1"/>
  <c r="AF33" i="4" s="1"/>
  <c r="J47" i="4"/>
  <c r="S47" i="4" s="1"/>
  <c r="J17" i="4"/>
  <c r="S17" i="4" s="1"/>
  <c r="Z17" i="4" s="1"/>
  <c r="AF17" i="4" s="1"/>
  <c r="J41" i="4"/>
  <c r="S41" i="4" s="1"/>
  <c r="J16" i="4"/>
  <c r="S16" i="4" s="1"/>
  <c r="J29" i="4"/>
  <c r="S29" i="4" s="1"/>
  <c r="Z29" i="4" s="1"/>
  <c r="AF29" i="4" s="1"/>
  <c r="J11" i="4"/>
  <c r="S11" i="4" s="1"/>
  <c r="Z11" i="4" s="1"/>
  <c r="AF11" i="4" s="1"/>
  <c r="J25" i="4"/>
  <c r="S25" i="4" s="1"/>
  <c r="Z25" i="4" s="1"/>
  <c r="AF25" i="4" s="1"/>
  <c r="J44" i="4"/>
  <c r="S44" i="4" s="1"/>
  <c r="Z44" i="4" s="1"/>
  <c r="AF44" i="4" s="1"/>
  <c r="J10" i="4"/>
  <c r="S10" i="4" s="1"/>
  <c r="Z10" i="4" s="1"/>
  <c r="AF10" i="4" s="1"/>
  <c r="J19" i="4"/>
  <c r="S19" i="4" s="1"/>
  <c r="Z19" i="4" s="1"/>
  <c r="AF19" i="4" s="1"/>
  <c r="J42" i="4"/>
  <c r="S42" i="4" s="1"/>
  <c r="Z42" i="4" s="1"/>
  <c r="AF42" i="4" s="1"/>
  <c r="J20" i="4"/>
  <c r="S20" i="4" s="1"/>
  <c r="Z20" i="4" s="1"/>
  <c r="AF20" i="4" s="1"/>
  <c r="J28" i="4"/>
  <c r="S28" i="4" s="1"/>
  <c r="Z28" i="4" s="1"/>
  <c r="AF28" i="4" s="1"/>
  <c r="J45" i="4"/>
  <c r="S45" i="4" s="1"/>
  <c r="Z45" i="4" s="1"/>
  <c r="AF45" i="4" s="1"/>
  <c r="J46" i="4"/>
  <c r="S46" i="4" s="1"/>
  <c r="Z46" i="4" s="1"/>
  <c r="AF46" i="4" s="1"/>
  <c r="T31" i="4"/>
  <c r="T29" i="4"/>
  <c r="U29" i="4" s="1"/>
  <c r="V29" i="4" s="1"/>
  <c r="T9" i="4"/>
  <c r="U9" i="4" s="1"/>
  <c r="V9" i="4" s="1"/>
  <c r="T42" i="4"/>
  <c r="U42" i="4" s="1"/>
  <c r="V42" i="4" s="1"/>
  <c r="T46" i="4"/>
  <c r="T28" i="4"/>
  <c r="U28" i="4" s="1"/>
  <c r="V28" i="4" s="1"/>
  <c r="T35" i="4"/>
  <c r="T20" i="4"/>
  <c r="U20" i="4" s="1"/>
  <c r="V20" i="4" s="1"/>
  <c r="T27" i="4"/>
  <c r="T19" i="4"/>
  <c r="T38" i="4"/>
  <c r="T11" i="4"/>
  <c r="T50" i="4"/>
  <c r="T14" i="4"/>
  <c r="T15" i="4"/>
  <c r="U15" i="4" s="1"/>
  <c r="V15" i="4" s="1"/>
  <c r="T16" i="4"/>
  <c r="U16" i="4" s="1"/>
  <c r="V16" i="4" s="1"/>
  <c r="Q58" i="4"/>
  <c r="T34" i="4"/>
  <c r="T24" i="4"/>
  <c r="U24" i="4" s="1"/>
  <c r="V24" i="4" s="1"/>
  <c r="O58" i="4"/>
  <c r="P58" i="4"/>
  <c r="T47" i="4"/>
  <c r="U47" i="4" s="1"/>
  <c r="V47" i="4" s="1"/>
  <c r="T39" i="4"/>
  <c r="T22" i="4"/>
  <c r="U22" i="4" s="1"/>
  <c r="V22" i="4" s="1"/>
  <c r="T45" i="4"/>
  <c r="U45" i="4" s="1"/>
  <c r="V45" i="4" s="1"/>
  <c r="T41" i="4"/>
  <c r="T36" i="4"/>
  <c r="T7" i="4"/>
  <c r="U7" i="4" s="1"/>
  <c r="T44" i="4"/>
  <c r="T25" i="4"/>
  <c r="U25" i="4" s="1"/>
  <c r="V25" i="4" s="1"/>
  <c r="T51" i="4"/>
  <c r="T52" i="4"/>
  <c r="U52" i="4" s="1"/>
  <c r="V52" i="4" s="1"/>
  <c r="I58" i="4"/>
  <c r="T37" i="4"/>
  <c r="T33" i="4"/>
  <c r="T10" i="4"/>
  <c r="T17" i="4"/>
  <c r="R58" i="4"/>
  <c r="AD18" i="5" l="1"/>
  <c r="AM18" i="5" s="1"/>
  <c r="AD35" i="5"/>
  <c r="AM35" i="5" s="1"/>
  <c r="AG30" i="5"/>
  <c r="AG51" i="5"/>
  <c r="AG54" i="5"/>
  <c r="AG14" i="5"/>
  <c r="AD10" i="5"/>
  <c r="AM10" i="5" s="1"/>
  <c r="AX10" i="5" s="1"/>
  <c r="AM17" i="5"/>
  <c r="AX17" i="5" s="1"/>
  <c r="AM42" i="5"/>
  <c r="AX42" i="5" s="1"/>
  <c r="AM29" i="5"/>
  <c r="AX29" i="5" s="1"/>
  <c r="AD47" i="5"/>
  <c r="AM47" i="5" s="1"/>
  <c r="AX47" i="5" s="1"/>
  <c r="AF13" i="5"/>
  <c r="AD13" i="5" s="1"/>
  <c r="AG13" i="5"/>
  <c r="AF50" i="5"/>
  <c r="AD50" i="5" s="1"/>
  <c r="AG50" i="5"/>
  <c r="AF24" i="5"/>
  <c r="AD24" i="5" s="1"/>
  <c r="AG24" i="5"/>
  <c r="AF19" i="5"/>
  <c r="AD19" i="5" s="1"/>
  <c r="AG19" i="5"/>
  <c r="AF49" i="5"/>
  <c r="AD49" i="5" s="1"/>
  <c r="AG49" i="5"/>
  <c r="AF31" i="5"/>
  <c r="AD31" i="5" s="1"/>
  <c r="AG31" i="5"/>
  <c r="AF25" i="5"/>
  <c r="AD25" i="5" s="1"/>
  <c r="AG25" i="5"/>
  <c r="AF15" i="5"/>
  <c r="AD15" i="5" s="1"/>
  <c r="AG15" i="5"/>
  <c r="AF39" i="5"/>
  <c r="AD39" i="5" s="1"/>
  <c r="AG39" i="5"/>
  <c r="AF27" i="5"/>
  <c r="AD27" i="5" s="1"/>
  <c r="AG27" i="5"/>
  <c r="AM28" i="5"/>
  <c r="AX28" i="5" s="1"/>
  <c r="AM40" i="5"/>
  <c r="AX40" i="5" s="1"/>
  <c r="AF38" i="5"/>
  <c r="AD38" i="5" s="1"/>
  <c r="AG38" i="5"/>
  <c r="AF26" i="5"/>
  <c r="AD26" i="5" s="1"/>
  <c r="AG26" i="5"/>
  <c r="AF36" i="5"/>
  <c r="AG36" i="5"/>
  <c r="AF12" i="5"/>
  <c r="AG12" i="5"/>
  <c r="AF37" i="5"/>
  <c r="AG37" i="5"/>
  <c r="AF48" i="5"/>
  <c r="AD48" i="5" s="1"/>
  <c r="AG48" i="5"/>
  <c r="AM16" i="5"/>
  <c r="AX16" i="5" s="1"/>
  <c r="AF54" i="5"/>
  <c r="AD54" i="5" s="1"/>
  <c r="AF51" i="5"/>
  <c r="AF14" i="5"/>
  <c r="AD14" i="5" s="1"/>
  <c r="AF30" i="5"/>
  <c r="AD30" i="5" s="1"/>
  <c r="AM32" i="5"/>
  <c r="AX32" i="5" s="1"/>
  <c r="AM22" i="5"/>
  <c r="AX22" i="5" s="1"/>
  <c r="AM41" i="5"/>
  <c r="AX41" i="5" s="1"/>
  <c r="AM23" i="5"/>
  <c r="AX23" i="5" s="1"/>
  <c r="AM46" i="5"/>
  <c r="AX46" i="5" s="1"/>
  <c r="AM20" i="5"/>
  <c r="AX20" i="5" s="1"/>
  <c r="AM53" i="5"/>
  <c r="AX53" i="5" s="1"/>
  <c r="AM34" i="5"/>
  <c r="AX34" i="5" s="1"/>
  <c r="AM44" i="5"/>
  <c r="AX44" i="5" s="1"/>
  <c r="AM11" i="5"/>
  <c r="AX11" i="5" s="1"/>
  <c r="AM45" i="5"/>
  <c r="AX45" i="5" s="1"/>
  <c r="AM8" i="5"/>
  <c r="AX8" i="5" s="1"/>
  <c r="AM52" i="5"/>
  <c r="AX52" i="5" s="1"/>
  <c r="AM33" i="5"/>
  <c r="AX33" i="5" s="1"/>
  <c r="AM21" i="5"/>
  <c r="AX21" i="5" s="1"/>
  <c r="AM7" i="5"/>
  <c r="AX7" i="5" s="1"/>
  <c r="AM43" i="5"/>
  <c r="AX43" i="5" s="1"/>
  <c r="AB21" i="4"/>
  <c r="AC21" i="4" s="1"/>
  <c r="AD21" i="4" s="1"/>
  <c r="B73" i="6" s="1"/>
  <c r="AB18" i="4"/>
  <c r="AC18" i="4" s="1"/>
  <c r="AD18" i="4" s="1"/>
  <c r="B70" i="6" s="1"/>
  <c r="U18" i="4"/>
  <c r="V18" i="4" s="1"/>
  <c r="AB43" i="4"/>
  <c r="AC43" i="4" s="1"/>
  <c r="AD43" i="4" s="1"/>
  <c r="B95" i="6" s="1"/>
  <c r="AB54" i="4"/>
  <c r="AC54" i="4" s="1"/>
  <c r="AD54" i="4" s="1"/>
  <c r="B106" i="6" s="1"/>
  <c r="AB23" i="4"/>
  <c r="AC23" i="4" s="1"/>
  <c r="AD23" i="4" s="1"/>
  <c r="B75" i="6" s="1"/>
  <c r="U54" i="4"/>
  <c r="V54" i="4" s="1"/>
  <c r="AB53" i="4"/>
  <c r="AC53" i="4" s="1"/>
  <c r="AD53" i="4" s="1"/>
  <c r="B105" i="6" s="1"/>
  <c r="AB35" i="4"/>
  <c r="AC35" i="4" s="1"/>
  <c r="AD35" i="4" s="1"/>
  <c r="B87" i="6" s="1"/>
  <c r="AB12" i="4"/>
  <c r="AC12" i="4" s="1"/>
  <c r="AD12" i="4" s="1"/>
  <c r="B64" i="6" s="1"/>
  <c r="AB36" i="4"/>
  <c r="AC36" i="4" s="1"/>
  <c r="AD36" i="4" s="1"/>
  <c r="B88" i="6" s="1"/>
  <c r="AB30" i="4"/>
  <c r="AC30" i="4" s="1"/>
  <c r="AD30" i="4" s="1"/>
  <c r="B82" i="6" s="1"/>
  <c r="AR55" i="6"/>
  <c r="AS7" i="6"/>
  <c r="AS55" i="6" s="1"/>
  <c r="AS58" i="6" s="1"/>
  <c r="AB32" i="4"/>
  <c r="AC32" i="4" s="1"/>
  <c r="AD32" i="4" s="1"/>
  <c r="B84" i="6" s="1"/>
  <c r="AB8" i="4"/>
  <c r="AC8" i="4" s="1"/>
  <c r="AD8" i="4" s="1"/>
  <c r="B60" i="6" s="1"/>
  <c r="U23" i="4"/>
  <c r="V23" i="4" s="1"/>
  <c r="Z16" i="4"/>
  <c r="AF16" i="4" s="1"/>
  <c r="Z7" i="4"/>
  <c r="AF7" i="4" s="1"/>
  <c r="U35" i="4"/>
  <c r="V35" i="4" s="1"/>
  <c r="AB19" i="4"/>
  <c r="AC19" i="4" s="1"/>
  <c r="AD19" i="4" s="1"/>
  <c r="B71" i="6" s="1"/>
  <c r="AB51" i="4"/>
  <c r="AC51" i="4" s="1"/>
  <c r="AD51" i="4" s="1"/>
  <c r="B103" i="6" s="1"/>
  <c r="Z41" i="4"/>
  <c r="AF41" i="4" s="1"/>
  <c r="AB33" i="4"/>
  <c r="AC33" i="4" s="1"/>
  <c r="AD33" i="4" s="1"/>
  <c r="B85" i="6" s="1"/>
  <c r="AB38" i="4"/>
  <c r="AC38" i="4" s="1"/>
  <c r="AD38" i="4" s="1"/>
  <c r="B90" i="6" s="1"/>
  <c r="Z47" i="4"/>
  <c r="AF47" i="4" s="1"/>
  <c r="Z34" i="4"/>
  <c r="AF34" i="4" s="1"/>
  <c r="AB46" i="4"/>
  <c r="AC46" i="4" s="1"/>
  <c r="AD46" i="4" s="1"/>
  <c r="B98" i="6" s="1"/>
  <c r="AB13" i="4"/>
  <c r="AC13" i="4" s="1"/>
  <c r="AD13" i="4" s="1"/>
  <c r="B65" i="6" s="1"/>
  <c r="AB31" i="4"/>
  <c r="AC31" i="4" s="1"/>
  <c r="AD31" i="4" s="1"/>
  <c r="B83" i="6" s="1"/>
  <c r="U31" i="4"/>
  <c r="V31" i="4" s="1"/>
  <c r="AB45" i="4"/>
  <c r="AC45" i="4" s="1"/>
  <c r="AD45" i="4" s="1"/>
  <c r="B97" i="6" s="1"/>
  <c r="U46" i="4"/>
  <c r="V46" i="4" s="1"/>
  <c r="AB42" i="4"/>
  <c r="AC42" i="4" s="1"/>
  <c r="AD42" i="4" s="1"/>
  <c r="B94" i="6" s="1"/>
  <c r="AB49" i="4"/>
  <c r="AC49" i="4" s="1"/>
  <c r="AD49" i="4" s="1"/>
  <c r="B101" i="6" s="1"/>
  <c r="U27" i="4"/>
  <c r="V27" i="4" s="1"/>
  <c r="AB22" i="4"/>
  <c r="AC22" i="4" s="1"/>
  <c r="AD22" i="4" s="1"/>
  <c r="B74" i="6" s="1"/>
  <c r="U50" i="4"/>
  <c r="V50" i="4" s="1"/>
  <c r="AB28" i="4"/>
  <c r="AC28" i="4" s="1"/>
  <c r="AD28" i="4" s="1"/>
  <c r="B80" i="6" s="1"/>
  <c r="U34" i="4"/>
  <c r="V34" i="4" s="1"/>
  <c r="U11" i="4"/>
  <c r="V11" i="4" s="1"/>
  <c r="AB14" i="4"/>
  <c r="AC14" i="4" s="1"/>
  <c r="AD14" i="4" s="1"/>
  <c r="B66" i="6" s="1"/>
  <c r="U14" i="4"/>
  <c r="V14" i="4" s="1"/>
  <c r="S58" i="4"/>
  <c r="U19" i="4"/>
  <c r="V19" i="4" s="1"/>
  <c r="U38" i="4"/>
  <c r="V38" i="4" s="1"/>
  <c r="U41" i="4"/>
  <c r="V41" i="4" s="1"/>
  <c r="U39" i="4"/>
  <c r="V39" i="4" s="1"/>
  <c r="AB52" i="4"/>
  <c r="AC52" i="4" s="1"/>
  <c r="AD52" i="4" s="1"/>
  <c r="B104" i="6" s="1"/>
  <c r="AB26" i="4"/>
  <c r="AC26" i="4" s="1"/>
  <c r="AD26" i="4" s="1"/>
  <c r="B78" i="6" s="1"/>
  <c r="AB40" i="4"/>
  <c r="AC40" i="4" s="1"/>
  <c r="AD40" i="4" s="1"/>
  <c r="B92" i="6" s="1"/>
  <c r="U51" i="4"/>
  <c r="V51" i="4" s="1"/>
  <c r="AB15" i="4"/>
  <c r="AC15" i="4" s="1"/>
  <c r="AD15" i="4" s="1"/>
  <c r="B67" i="6" s="1"/>
  <c r="U37" i="4"/>
  <c r="V37" i="4" s="1"/>
  <c r="U33" i="4"/>
  <c r="V33" i="4" s="1"/>
  <c r="AB17" i="4"/>
  <c r="AC17" i="4" s="1"/>
  <c r="AD17" i="4" s="1"/>
  <c r="B69" i="6" s="1"/>
  <c r="U17" i="4"/>
  <c r="V17" i="4" s="1"/>
  <c r="U10" i="4"/>
  <c r="V10" i="4" s="1"/>
  <c r="AB10" i="4"/>
  <c r="AC10" i="4" s="1"/>
  <c r="AD10" i="4" s="1"/>
  <c r="B62" i="6" s="1"/>
  <c r="AC62" i="6" s="1"/>
  <c r="AB9" i="4"/>
  <c r="AC9" i="4" s="1"/>
  <c r="AD9" i="4" s="1"/>
  <c r="B61" i="6" s="1"/>
  <c r="U36" i="4"/>
  <c r="V36" i="4" s="1"/>
  <c r="AB29" i="4"/>
  <c r="AC29" i="4" s="1"/>
  <c r="AD29" i="4" s="1"/>
  <c r="B81" i="6" s="1"/>
  <c r="AB27" i="4"/>
  <c r="AC27" i="4" s="1"/>
  <c r="AD27" i="4" s="1"/>
  <c r="B79" i="6" s="1"/>
  <c r="AB24" i="4"/>
  <c r="AC24" i="4" s="1"/>
  <c r="AD24" i="4" s="1"/>
  <c r="B76" i="6" s="1"/>
  <c r="T58" i="4"/>
  <c r="T60" i="4" s="1"/>
  <c r="U44" i="4"/>
  <c r="V44" i="4" s="1"/>
  <c r="AB44" i="4"/>
  <c r="AC44" i="4" s="1"/>
  <c r="AD44" i="4" s="1"/>
  <c r="B96" i="6" s="1"/>
  <c r="AB48" i="4"/>
  <c r="AC48" i="4" s="1"/>
  <c r="AD48" i="4" s="1"/>
  <c r="B100" i="6" s="1"/>
  <c r="AB50" i="4"/>
  <c r="AC50" i="4" s="1"/>
  <c r="AD50" i="4" s="1"/>
  <c r="B102" i="6" s="1"/>
  <c r="V7" i="4"/>
  <c r="AB11" i="4"/>
  <c r="AC11" i="4" s="1"/>
  <c r="AD11" i="4" s="1"/>
  <c r="B63" i="6" s="1"/>
  <c r="AB25" i="4"/>
  <c r="AC25" i="4" s="1"/>
  <c r="AD25" i="4" s="1"/>
  <c r="B77" i="6" s="1"/>
  <c r="AB39" i="4"/>
  <c r="AC39" i="4" s="1"/>
  <c r="AD39" i="4" s="1"/>
  <c r="B91" i="6" s="1"/>
  <c r="AB37" i="4"/>
  <c r="AC37" i="4" s="1"/>
  <c r="AD37" i="4" s="1"/>
  <c r="B89" i="6" s="1"/>
  <c r="AB20" i="4"/>
  <c r="AC20" i="4" s="1"/>
  <c r="AD20" i="4" s="1"/>
  <c r="B72" i="6" s="1"/>
  <c r="AX18" i="5" l="1"/>
  <c r="AX35" i="5"/>
  <c r="AD51" i="5"/>
  <c r="AM51" i="5" s="1"/>
  <c r="AX51" i="5" s="1"/>
  <c r="AD12" i="5"/>
  <c r="AM12" i="5" s="1"/>
  <c r="AD37" i="5"/>
  <c r="AM37" i="5" s="1"/>
  <c r="AD36" i="5"/>
  <c r="AM36" i="5" s="1"/>
  <c r="AX36" i="5" s="1"/>
  <c r="AM31" i="5"/>
  <c r="AX31" i="5" s="1"/>
  <c r="AM48" i="5"/>
  <c r="AX48" i="5" s="1"/>
  <c r="AM15" i="5"/>
  <c r="AX15" i="5" s="1"/>
  <c r="AM38" i="5"/>
  <c r="AX38" i="5" s="1"/>
  <c r="AM27" i="5"/>
  <c r="AX27" i="5" s="1"/>
  <c r="AM13" i="5"/>
  <c r="AX13" i="5" s="1"/>
  <c r="AM24" i="5"/>
  <c r="AX24" i="5" s="1"/>
  <c r="AM49" i="5"/>
  <c r="AX49" i="5" s="1"/>
  <c r="AM54" i="5"/>
  <c r="AX54" i="5" s="1"/>
  <c r="AM19" i="5"/>
  <c r="AX19" i="5" s="1"/>
  <c r="AM26" i="5"/>
  <c r="AX26" i="5" s="1"/>
  <c r="AM39" i="5"/>
  <c r="AX39" i="5" s="1"/>
  <c r="AM50" i="5"/>
  <c r="AX50" i="5" s="1"/>
  <c r="AM14" i="5"/>
  <c r="AX14" i="5" s="1"/>
  <c r="AM25" i="5"/>
  <c r="AX25" i="5" s="1"/>
  <c r="AM30" i="5"/>
  <c r="AX30" i="5" s="1"/>
  <c r="AB16" i="4"/>
  <c r="AC16" i="4" s="1"/>
  <c r="AD16" i="4" s="1"/>
  <c r="B68" i="6" s="1"/>
  <c r="AB34" i="4"/>
  <c r="AC34" i="4" s="1"/>
  <c r="AD34" i="4" s="1"/>
  <c r="B86" i="6" s="1"/>
  <c r="AB41" i="4"/>
  <c r="AC41" i="4" s="1"/>
  <c r="AD41" i="4" s="1"/>
  <c r="B93" i="6" s="1"/>
  <c r="AB47" i="4"/>
  <c r="AC47" i="4" s="1"/>
  <c r="AD47" i="4" s="1"/>
  <c r="B99" i="6" s="1"/>
  <c r="Z58" i="4"/>
  <c r="T61" i="4" s="1"/>
  <c r="AB7" i="4"/>
  <c r="V58" i="4"/>
  <c r="U58" i="4"/>
  <c r="AF58" i="4"/>
  <c r="AX12" i="5" l="1"/>
  <c r="AX37" i="5"/>
  <c r="AB58" i="4"/>
  <c r="T62" i="4" s="1"/>
  <c r="AC7" i="4"/>
  <c r="AC58" i="4" l="1"/>
  <c r="AD7" i="4"/>
  <c r="AD58" i="4" l="1"/>
  <c r="B59" i="6"/>
  <c r="AG58" i="4" l="1"/>
  <c r="AH85" i="6" l="1"/>
  <c r="U85" i="6"/>
  <c r="H85" i="6"/>
  <c r="AG85" i="6"/>
  <c r="T85" i="6"/>
  <c r="F85" i="6"/>
  <c r="AF85" i="6"/>
  <c r="S85" i="6"/>
  <c r="E85" i="6"/>
  <c r="Z85" i="6"/>
  <c r="J85" i="6"/>
  <c r="V85" i="6"/>
  <c r="Q85" i="6"/>
  <c r="W85" i="6"/>
  <c r="R85" i="6"/>
  <c r="P85" i="6"/>
  <c r="O85" i="6"/>
  <c r="AE85" i="6"/>
  <c r="AD85" i="6"/>
  <c r="AC85" i="6"/>
  <c r="AA85" i="6"/>
  <c r="Y85" i="6"/>
  <c r="X85" i="6"/>
  <c r="K85" i="6"/>
  <c r="M85" i="6"/>
  <c r="L85" i="6"/>
  <c r="I85" i="6"/>
  <c r="D85" i="6"/>
  <c r="AH104" i="6"/>
  <c r="U104" i="6"/>
  <c r="H104" i="6"/>
  <c r="AG104" i="6"/>
  <c r="T104" i="6"/>
  <c r="F104" i="6"/>
  <c r="AF104" i="6"/>
  <c r="S104" i="6"/>
  <c r="E104" i="6"/>
  <c r="AE104" i="6"/>
  <c r="R104" i="6"/>
  <c r="D104" i="6"/>
  <c r="Q104" i="6"/>
  <c r="AD104" i="6"/>
  <c r="AA104" i="6"/>
  <c r="I104" i="6"/>
  <c r="L104" i="6"/>
  <c r="J104" i="6"/>
  <c r="AC104" i="6"/>
  <c r="Z104" i="6"/>
  <c r="P104" i="6"/>
  <c r="O104" i="6"/>
  <c r="M104" i="6"/>
  <c r="Y104" i="6"/>
  <c r="X104" i="6"/>
  <c r="W104" i="6"/>
  <c r="V104" i="6"/>
  <c r="Z70" i="6"/>
  <c r="M70" i="6"/>
  <c r="AE70" i="6"/>
  <c r="Q70" i="6"/>
  <c r="AC70" i="6"/>
  <c r="O70" i="6"/>
  <c r="U70" i="6"/>
  <c r="D70" i="6"/>
  <c r="T70" i="6"/>
  <c r="S70" i="6"/>
  <c r="AH70" i="6"/>
  <c r="R70" i="6"/>
  <c r="L70" i="6"/>
  <c r="K70" i="6"/>
  <c r="J70" i="6"/>
  <c r="AG70" i="6"/>
  <c r="I70" i="6"/>
  <c r="AF70" i="6"/>
  <c r="AA70" i="6"/>
  <c r="W70" i="6"/>
  <c r="P70" i="6"/>
  <c r="H70" i="6"/>
  <c r="AD70" i="6"/>
  <c r="Y70" i="6"/>
  <c r="X70" i="6"/>
  <c r="V70" i="6"/>
  <c r="F70" i="6"/>
  <c r="E70" i="6"/>
  <c r="W95" i="6"/>
  <c r="J95" i="6"/>
  <c r="V95" i="6"/>
  <c r="I95" i="6"/>
  <c r="AH95" i="6"/>
  <c r="U95" i="6"/>
  <c r="H95" i="6"/>
  <c r="AF95" i="6"/>
  <c r="P95" i="6"/>
  <c r="T95" i="6"/>
  <c r="R95" i="6"/>
  <c r="O95" i="6"/>
  <c r="M95" i="6"/>
  <c r="AG95" i="6"/>
  <c r="L95" i="6"/>
  <c r="F95" i="6"/>
  <c r="AE95" i="6"/>
  <c r="K95" i="6"/>
  <c r="AD95" i="6"/>
  <c r="AC95" i="6"/>
  <c r="AA95" i="6"/>
  <c r="Z95" i="6"/>
  <c r="D95" i="6"/>
  <c r="X95" i="6"/>
  <c r="S95" i="6"/>
  <c r="Y95" i="6"/>
  <c r="Q95" i="6"/>
  <c r="E95" i="6"/>
  <c r="X76" i="6"/>
  <c r="K76" i="6"/>
  <c r="W76" i="6"/>
  <c r="J76" i="6"/>
  <c r="V76" i="6"/>
  <c r="I76" i="6"/>
  <c r="S76" i="6"/>
  <c r="AA76" i="6"/>
  <c r="F76" i="6"/>
  <c r="Y76" i="6"/>
  <c r="D76" i="6"/>
  <c r="AG76" i="6"/>
  <c r="M76" i="6"/>
  <c r="AF76" i="6"/>
  <c r="L76" i="6"/>
  <c r="AE76" i="6"/>
  <c r="H76" i="6"/>
  <c r="AD76" i="6"/>
  <c r="E76" i="6"/>
  <c r="O76" i="6"/>
  <c r="AH76" i="6"/>
  <c r="U76" i="6"/>
  <c r="Q76" i="6"/>
  <c r="AC76" i="6"/>
  <c r="Z76" i="6"/>
  <c r="T76" i="6"/>
  <c r="R76" i="6"/>
  <c r="P76" i="6"/>
  <c r="Z98" i="6"/>
  <c r="M98" i="6"/>
  <c r="Y98" i="6"/>
  <c r="L98" i="6"/>
  <c r="X98" i="6"/>
  <c r="K98" i="6"/>
  <c r="S98" i="6"/>
  <c r="AG98" i="6"/>
  <c r="P98" i="6"/>
  <c r="AE98" i="6"/>
  <c r="J98" i="6"/>
  <c r="AA98" i="6"/>
  <c r="D98" i="6"/>
  <c r="T98" i="6"/>
  <c r="W98" i="6"/>
  <c r="V98" i="6"/>
  <c r="U98" i="6"/>
  <c r="F98" i="6"/>
  <c r="E98" i="6"/>
  <c r="AH98" i="6"/>
  <c r="AF98" i="6"/>
  <c r="I98" i="6"/>
  <c r="AC98" i="6"/>
  <c r="R98" i="6"/>
  <c r="H98" i="6"/>
  <c r="AD98" i="6"/>
  <c r="Q98" i="6"/>
  <c r="O98" i="6"/>
  <c r="X74" i="6"/>
  <c r="K74" i="6"/>
  <c r="Y74" i="6"/>
  <c r="J74" i="6"/>
  <c r="Z74" i="6"/>
  <c r="I74" i="6"/>
  <c r="F74" i="6"/>
  <c r="U74" i="6"/>
  <c r="T74" i="6"/>
  <c r="S74" i="6"/>
  <c r="AH74" i="6"/>
  <c r="W74" i="6"/>
  <c r="Q74" i="6"/>
  <c r="P74" i="6"/>
  <c r="L74" i="6"/>
  <c r="H74" i="6"/>
  <c r="AF74" i="6"/>
  <c r="D74" i="6"/>
  <c r="AC74" i="6"/>
  <c r="O74" i="6"/>
  <c r="M74" i="6"/>
  <c r="AG74" i="6"/>
  <c r="E74" i="6"/>
  <c r="AE74" i="6"/>
  <c r="AD74" i="6"/>
  <c r="AF106" i="6"/>
  <c r="S106" i="6"/>
  <c r="E106" i="6"/>
  <c r="AE106" i="6"/>
  <c r="R106" i="6"/>
  <c r="D106" i="6"/>
  <c r="AD106" i="6"/>
  <c r="Q106" i="6"/>
  <c r="AC106" i="6"/>
  <c r="P106" i="6"/>
  <c r="Z106" i="6"/>
  <c r="I106" i="6"/>
  <c r="Y106" i="6"/>
  <c r="F106" i="6"/>
  <c r="W106" i="6"/>
  <c r="T106" i="6"/>
  <c r="O106" i="6"/>
  <c r="M106" i="6"/>
  <c r="L106" i="6"/>
  <c r="K106" i="6"/>
  <c r="AG106" i="6"/>
  <c r="AA106" i="6"/>
  <c r="U106" i="6"/>
  <c r="X106" i="6"/>
  <c r="V106" i="6"/>
  <c r="AH106" i="6"/>
  <c r="J106" i="6"/>
  <c r="H106" i="6"/>
  <c r="AE94" i="6"/>
  <c r="R94" i="6"/>
  <c r="D94" i="6"/>
  <c r="AD94" i="6"/>
  <c r="Q94" i="6"/>
  <c r="AC94" i="6"/>
  <c r="P94" i="6"/>
  <c r="AG94" i="6"/>
  <c r="M94" i="6"/>
  <c r="S94" i="6"/>
  <c r="AH94" i="6"/>
  <c r="L94" i="6"/>
  <c r="Y94" i="6"/>
  <c r="E94" i="6"/>
  <c r="U94" i="6"/>
  <c r="X94" i="6"/>
  <c r="W94" i="6"/>
  <c r="V94" i="6"/>
  <c r="AF94" i="6"/>
  <c r="AA94" i="6"/>
  <c r="Z94" i="6"/>
  <c r="T94" i="6"/>
  <c r="K94" i="6"/>
  <c r="H94" i="6"/>
  <c r="O94" i="6"/>
  <c r="J94" i="6"/>
  <c r="I94" i="6"/>
  <c r="F94" i="6"/>
  <c r="AC103" i="6"/>
  <c r="AA103" i="6"/>
  <c r="Z103" i="6"/>
  <c r="Y103" i="6"/>
  <c r="AG103" i="6"/>
  <c r="V103" i="6"/>
  <c r="I103" i="6"/>
  <c r="F103" i="6"/>
  <c r="U103" i="6"/>
  <c r="E103" i="6"/>
  <c r="D103" i="6"/>
  <c r="AF103" i="6"/>
  <c r="K103" i="6"/>
  <c r="X103" i="6"/>
  <c r="H103" i="6"/>
  <c r="AH103" i="6"/>
  <c r="AE103" i="6"/>
  <c r="AD103" i="6"/>
  <c r="J103" i="6"/>
  <c r="W103" i="6"/>
  <c r="AF75" i="6"/>
  <c r="AE75" i="6"/>
  <c r="R75" i="6"/>
  <c r="AD75" i="6"/>
  <c r="Q75" i="6"/>
  <c r="T75" i="6"/>
  <c r="D75" i="6"/>
  <c r="W75" i="6"/>
  <c r="F75" i="6"/>
  <c r="U75" i="6"/>
  <c r="X75" i="6"/>
  <c r="V75" i="6"/>
  <c r="S75" i="6"/>
  <c r="P75" i="6"/>
  <c r="K75" i="6"/>
  <c r="J75" i="6"/>
  <c r="AG75" i="6"/>
  <c r="I75" i="6"/>
  <c r="AH75" i="6"/>
  <c r="H75" i="6"/>
  <c r="E75" i="6"/>
  <c r="Y75" i="6"/>
  <c r="L75" i="6"/>
  <c r="AC75" i="6"/>
  <c r="O75" i="6"/>
  <c r="M75" i="6"/>
  <c r="AA75" i="6"/>
  <c r="Z75" i="6"/>
  <c r="Z105" i="6"/>
  <c r="M105" i="6"/>
  <c r="Y105" i="6"/>
  <c r="L105" i="6"/>
  <c r="X105" i="6"/>
  <c r="K105" i="6"/>
  <c r="W105" i="6"/>
  <c r="J105" i="6"/>
  <c r="V105" i="6"/>
  <c r="D105" i="6"/>
  <c r="S105" i="6"/>
  <c r="Q105" i="6"/>
  <c r="AD105" i="6"/>
  <c r="AC105" i="6"/>
  <c r="AA105" i="6"/>
  <c r="T105" i="6"/>
  <c r="U105" i="6"/>
  <c r="R105" i="6"/>
  <c r="O105" i="6"/>
  <c r="I105" i="6"/>
  <c r="H105" i="6"/>
  <c r="AH105" i="6"/>
  <c r="AG105" i="6"/>
  <c r="F105" i="6"/>
  <c r="E105" i="6"/>
  <c r="AF105" i="6"/>
  <c r="AE105" i="6"/>
  <c r="AI94" i="6" l="1"/>
  <c r="AI106" i="6"/>
  <c r="AI74" i="6"/>
  <c r="AI104" i="6"/>
  <c r="AI85" i="6"/>
  <c r="AI75" i="6"/>
  <c r="AI105" i="6"/>
  <c r="AI70" i="6"/>
  <c r="AI95" i="6"/>
  <c r="AI103" i="6"/>
  <c r="AI76" i="6"/>
  <c r="AI98" i="6"/>
  <c r="AE101" i="6" l="1"/>
  <c r="R101" i="6"/>
  <c r="D101" i="6"/>
  <c r="AD101" i="6"/>
  <c r="Q101" i="6"/>
  <c r="AC101" i="6"/>
  <c r="P101" i="6"/>
  <c r="AA101" i="6"/>
  <c r="O101" i="6"/>
  <c r="Z101" i="6"/>
  <c r="I101" i="6"/>
  <c r="L101" i="6"/>
  <c r="AG101" i="6"/>
  <c r="J101" i="6"/>
  <c r="V101" i="6"/>
  <c r="U101" i="6"/>
  <c r="T101" i="6"/>
  <c r="S101" i="6"/>
  <c r="M101" i="6"/>
  <c r="X101" i="6"/>
  <c r="W101" i="6"/>
  <c r="K101" i="6"/>
  <c r="H101" i="6"/>
  <c r="F101" i="6"/>
  <c r="AH101" i="6"/>
  <c r="E101" i="6"/>
  <c r="AF101" i="6"/>
  <c r="Y101" i="6"/>
  <c r="W102" i="6"/>
  <c r="J102" i="6"/>
  <c r="V102" i="6"/>
  <c r="I102" i="6"/>
  <c r="AH102" i="6"/>
  <c r="U102" i="6"/>
  <c r="H102" i="6"/>
  <c r="AG102" i="6"/>
  <c r="T102" i="6"/>
  <c r="F102" i="6"/>
  <c r="AF102" i="6"/>
  <c r="O102" i="6"/>
  <c r="X102" i="6"/>
  <c r="R102" i="6"/>
  <c r="M102" i="6"/>
  <c r="L102" i="6"/>
  <c r="K102" i="6"/>
  <c r="AE102" i="6"/>
  <c r="E102" i="6"/>
  <c r="AD102" i="6"/>
  <c r="D102" i="6"/>
  <c r="AC102" i="6"/>
  <c r="AA102" i="6"/>
  <c r="Z102" i="6"/>
  <c r="Y102" i="6"/>
  <c r="S102" i="6"/>
  <c r="Q102" i="6"/>
  <c r="P102" i="6"/>
  <c r="Y100" i="6"/>
  <c r="L100" i="6"/>
  <c r="X100" i="6"/>
  <c r="K100" i="6"/>
  <c r="W100" i="6"/>
  <c r="J100" i="6"/>
  <c r="V100" i="6"/>
  <c r="I100" i="6"/>
  <c r="Z100" i="6"/>
  <c r="D100" i="6"/>
  <c r="AC100" i="6"/>
  <c r="E100" i="6"/>
  <c r="U100" i="6"/>
  <c r="AF100" i="6"/>
  <c r="F100" i="6"/>
  <c r="AE100" i="6"/>
  <c r="AD100" i="6"/>
  <c r="AA100" i="6"/>
  <c r="T100" i="6"/>
  <c r="P100" i="6"/>
  <c r="O100" i="6"/>
  <c r="M100" i="6"/>
  <c r="H100" i="6"/>
  <c r="AG100" i="6"/>
  <c r="R100" i="6"/>
  <c r="Q100" i="6"/>
  <c r="AH100" i="6"/>
  <c r="S100" i="6"/>
  <c r="Y65" i="6" l="1"/>
  <c r="L65" i="6"/>
  <c r="AD65" i="6"/>
  <c r="P65" i="6"/>
  <c r="AA65" i="6"/>
  <c r="M65" i="6"/>
  <c r="U65" i="6"/>
  <c r="D65" i="6"/>
  <c r="T65" i="6"/>
  <c r="S65" i="6"/>
  <c r="AH65" i="6"/>
  <c r="R65" i="6"/>
  <c r="W65" i="6"/>
  <c r="V65" i="6"/>
  <c r="Q65" i="6"/>
  <c r="O65" i="6"/>
  <c r="F65" i="6"/>
  <c r="AF65" i="6"/>
  <c r="E65" i="6"/>
  <c r="AG65" i="6"/>
  <c r="AE65" i="6"/>
  <c r="AC65" i="6"/>
  <c r="Z65" i="6"/>
  <c r="X65" i="6"/>
  <c r="K65" i="6"/>
  <c r="J65" i="6"/>
  <c r="I65" i="6"/>
  <c r="H65" i="6"/>
  <c r="V78" i="6"/>
  <c r="I78" i="6"/>
  <c r="AH78" i="6"/>
  <c r="U78" i="6"/>
  <c r="H78" i="6"/>
  <c r="AG78" i="6"/>
  <c r="T78" i="6"/>
  <c r="F78" i="6"/>
  <c r="S78" i="6"/>
  <c r="AE78" i="6"/>
  <c r="M78" i="6"/>
  <c r="AC78" i="6"/>
  <c r="K78" i="6"/>
  <c r="AF78" i="6"/>
  <c r="J78" i="6"/>
  <c r="AD78" i="6"/>
  <c r="E78" i="6"/>
  <c r="AA78" i="6"/>
  <c r="D78" i="6"/>
  <c r="Z78" i="6"/>
  <c r="Y78" i="6"/>
  <c r="Q78" i="6"/>
  <c r="L78" i="6"/>
  <c r="X78" i="6"/>
  <c r="P78" i="6"/>
  <c r="O78" i="6"/>
  <c r="R78" i="6"/>
  <c r="W78" i="6"/>
  <c r="AC84" i="6"/>
  <c r="P84" i="6"/>
  <c r="AA84" i="6"/>
  <c r="O84" i="6"/>
  <c r="Z84" i="6"/>
  <c r="M84" i="6"/>
  <c r="X84" i="6"/>
  <c r="H84" i="6"/>
  <c r="R84" i="6"/>
  <c r="AG84" i="6"/>
  <c r="L84" i="6"/>
  <c r="AF84" i="6"/>
  <c r="I84" i="6"/>
  <c r="AE84" i="6"/>
  <c r="F84" i="6"/>
  <c r="AD84" i="6"/>
  <c r="E84" i="6"/>
  <c r="Y84" i="6"/>
  <c r="D84" i="6"/>
  <c r="AH84" i="6"/>
  <c r="W84" i="6"/>
  <c r="V84" i="6"/>
  <c r="U84" i="6"/>
  <c r="Q84" i="6"/>
  <c r="T84" i="6"/>
  <c r="S84" i="6"/>
  <c r="K84" i="6"/>
  <c r="J84" i="6"/>
  <c r="AE82" i="6"/>
  <c r="R82" i="6"/>
  <c r="D82" i="6"/>
  <c r="AD82" i="6"/>
  <c r="Q82" i="6"/>
  <c r="AC82" i="6"/>
  <c r="P82" i="6"/>
  <c r="W82" i="6"/>
  <c r="F82" i="6"/>
  <c r="Z82" i="6"/>
  <c r="I82" i="6"/>
  <c r="X82" i="6"/>
  <c r="E82" i="6"/>
  <c r="AG82" i="6"/>
  <c r="J82" i="6"/>
  <c r="AF82" i="6"/>
  <c r="H82" i="6"/>
  <c r="AA82" i="6"/>
  <c r="Y82" i="6"/>
  <c r="AH82" i="6"/>
  <c r="V82" i="6"/>
  <c r="U82" i="6"/>
  <c r="T82" i="6"/>
  <c r="S82" i="6"/>
  <c r="L82" i="6"/>
  <c r="O82" i="6"/>
  <c r="M82" i="6"/>
  <c r="K82" i="6"/>
  <c r="AA79" i="6"/>
  <c r="O79" i="6"/>
  <c r="Z79" i="6"/>
  <c r="M79" i="6"/>
  <c r="Y79" i="6"/>
  <c r="L79" i="6"/>
  <c r="U79" i="6"/>
  <c r="D79" i="6"/>
  <c r="R79" i="6"/>
  <c r="AG79" i="6"/>
  <c r="P79" i="6"/>
  <c r="V79" i="6"/>
  <c r="T79" i="6"/>
  <c r="S79" i="6"/>
  <c r="Q79" i="6"/>
  <c r="F79" i="6"/>
  <c r="AH79" i="6"/>
  <c r="E79" i="6"/>
  <c r="AF79" i="6"/>
  <c r="AE79" i="6"/>
  <c r="AD79" i="6"/>
  <c r="W79" i="6"/>
  <c r="I79" i="6"/>
  <c r="AC79" i="6"/>
  <c r="X79" i="6"/>
  <c r="K79" i="6"/>
  <c r="J79" i="6"/>
  <c r="H79" i="6"/>
  <c r="AE66" i="6"/>
  <c r="R66" i="6"/>
  <c r="D66" i="6"/>
  <c r="X66" i="6"/>
  <c r="J66" i="6"/>
  <c r="V66" i="6"/>
  <c r="H66" i="6"/>
  <c r="U66" i="6"/>
  <c r="T66" i="6"/>
  <c r="S66" i="6"/>
  <c r="AH66" i="6"/>
  <c r="Q66" i="6"/>
  <c r="L66" i="6"/>
  <c r="AG66" i="6"/>
  <c r="K66" i="6"/>
  <c r="AF66" i="6"/>
  <c r="I66" i="6"/>
  <c r="AD66" i="6"/>
  <c r="F66" i="6"/>
  <c r="E66" i="6"/>
  <c r="Z66" i="6"/>
  <c r="P66" i="6"/>
  <c r="AC66" i="6"/>
  <c r="AA66" i="6"/>
  <c r="Y66" i="6"/>
  <c r="W66" i="6"/>
  <c r="O66" i="6"/>
  <c r="M66" i="6"/>
  <c r="W83" i="6"/>
  <c r="J83" i="6"/>
  <c r="V83" i="6"/>
  <c r="I83" i="6"/>
  <c r="AH83" i="6"/>
  <c r="U83" i="6"/>
  <c r="H83" i="6"/>
  <c r="Y83" i="6"/>
  <c r="E83" i="6"/>
  <c r="AE83" i="6"/>
  <c r="M83" i="6"/>
  <c r="AC83" i="6"/>
  <c r="K83" i="6"/>
  <c r="S83" i="6"/>
  <c r="R83" i="6"/>
  <c r="Q83" i="6"/>
  <c r="P83" i="6"/>
  <c r="AF83" i="6"/>
  <c r="AD83" i="6"/>
  <c r="AA83" i="6"/>
  <c r="Z83" i="6"/>
  <c r="X83" i="6"/>
  <c r="D83" i="6"/>
  <c r="T83" i="6"/>
  <c r="O83" i="6"/>
  <c r="AG83" i="6"/>
  <c r="F83" i="6"/>
  <c r="L83" i="6"/>
  <c r="AI102" i="6"/>
  <c r="AI101" i="6"/>
  <c r="Y81" i="6"/>
  <c r="L81" i="6"/>
  <c r="X81" i="6"/>
  <c r="K81" i="6"/>
  <c r="W81" i="6"/>
  <c r="J81" i="6"/>
  <c r="V81" i="6"/>
  <c r="E81" i="6"/>
  <c r="Z81" i="6"/>
  <c r="D81" i="6"/>
  <c r="T81" i="6"/>
  <c r="S81" i="6"/>
  <c r="R81" i="6"/>
  <c r="Q81" i="6"/>
  <c r="P81" i="6"/>
  <c r="AG81" i="6"/>
  <c r="AF81" i="6"/>
  <c r="AE81" i="6"/>
  <c r="AD81" i="6"/>
  <c r="AC81" i="6"/>
  <c r="O81" i="6"/>
  <c r="F81" i="6"/>
  <c r="AH81" i="6"/>
  <c r="M81" i="6"/>
  <c r="H81" i="6"/>
  <c r="U81" i="6"/>
  <c r="AA81" i="6"/>
  <c r="AG80" i="6"/>
  <c r="T80" i="6"/>
  <c r="F80" i="6"/>
  <c r="AF80" i="6"/>
  <c r="S80" i="6"/>
  <c r="E80" i="6"/>
  <c r="AE80" i="6"/>
  <c r="R80" i="6"/>
  <c r="D80" i="6"/>
  <c r="W80" i="6"/>
  <c r="U80" i="6"/>
  <c r="P80" i="6"/>
  <c r="AD80" i="6"/>
  <c r="J80" i="6"/>
  <c r="AC80" i="6"/>
  <c r="I80" i="6"/>
  <c r="AA80" i="6"/>
  <c r="H80" i="6"/>
  <c r="Z80" i="6"/>
  <c r="AH80" i="6"/>
  <c r="Y80" i="6"/>
  <c r="X80" i="6"/>
  <c r="V80" i="6"/>
  <c r="O80" i="6"/>
  <c r="M80" i="6"/>
  <c r="Q80" i="6"/>
  <c r="L80" i="6"/>
  <c r="K80" i="6"/>
  <c r="AF87" i="6"/>
  <c r="S87" i="6"/>
  <c r="E87" i="6"/>
  <c r="AE87" i="6"/>
  <c r="R87" i="6"/>
  <c r="D87" i="6"/>
  <c r="AD87" i="6"/>
  <c r="Q87" i="6"/>
  <c r="Z87" i="6"/>
  <c r="J87" i="6"/>
  <c r="I87" i="6"/>
  <c r="X87" i="6"/>
  <c r="F87" i="6"/>
  <c r="T87" i="6"/>
  <c r="P87" i="6"/>
  <c r="O87" i="6"/>
  <c r="M87" i="6"/>
  <c r="Y87" i="6"/>
  <c r="W87" i="6"/>
  <c r="V87" i="6"/>
  <c r="U87" i="6"/>
  <c r="AH87" i="6"/>
  <c r="H87" i="6"/>
  <c r="AG87" i="6"/>
  <c r="L87" i="6"/>
  <c r="K87" i="6"/>
  <c r="AI100" i="6"/>
  <c r="X72" i="6"/>
  <c r="K72" i="6"/>
  <c r="AH72" i="6"/>
  <c r="T72" i="6"/>
  <c r="E72" i="6"/>
  <c r="AF72" i="6"/>
  <c r="R72" i="6"/>
  <c r="U72" i="6"/>
  <c r="S72" i="6"/>
  <c r="Q72" i="6"/>
  <c r="AG72" i="6"/>
  <c r="P72" i="6"/>
  <c r="V72" i="6"/>
  <c r="O72" i="6"/>
  <c r="M72" i="6"/>
  <c r="L72" i="6"/>
  <c r="J72" i="6"/>
  <c r="H72" i="6"/>
  <c r="AC72" i="6"/>
  <c r="Y72" i="6"/>
  <c r="F72" i="6"/>
  <c r="D72" i="6"/>
  <c r="AE72" i="6"/>
  <c r="AD72" i="6"/>
  <c r="AA72" i="6"/>
  <c r="Z72" i="6"/>
  <c r="I72" i="6"/>
  <c r="W72" i="6"/>
  <c r="Z86" i="6"/>
  <c r="M86" i="6"/>
  <c r="Y86" i="6"/>
  <c r="L86" i="6"/>
  <c r="X86" i="6"/>
  <c r="K86" i="6"/>
  <c r="AC86" i="6"/>
  <c r="I86" i="6"/>
  <c r="W86" i="6"/>
  <c r="E86" i="6"/>
  <c r="U86" i="6"/>
  <c r="AF86" i="6"/>
  <c r="H86" i="6"/>
  <c r="AE86" i="6"/>
  <c r="F86" i="6"/>
  <c r="AD86" i="6"/>
  <c r="D86" i="6"/>
  <c r="AA86" i="6"/>
  <c r="AG86" i="6"/>
  <c r="V86" i="6"/>
  <c r="T86" i="6"/>
  <c r="S86" i="6"/>
  <c r="R86" i="6"/>
  <c r="P86" i="6"/>
  <c r="O86" i="6"/>
  <c r="J86" i="6"/>
  <c r="AH86" i="6"/>
  <c r="Q86" i="6"/>
  <c r="AH97" i="6"/>
  <c r="U97" i="6"/>
  <c r="H97" i="6"/>
  <c r="AG97" i="6"/>
  <c r="T97" i="6"/>
  <c r="F97" i="6"/>
  <c r="AF97" i="6"/>
  <c r="S97" i="6"/>
  <c r="E97" i="6"/>
  <c r="Q97" i="6"/>
  <c r="AC97" i="6"/>
  <c r="Z97" i="6"/>
  <c r="I97" i="6"/>
  <c r="O97" i="6"/>
  <c r="M97" i="6"/>
  <c r="J97" i="6"/>
  <c r="L97" i="6"/>
  <c r="AE97" i="6"/>
  <c r="AD97" i="6"/>
  <c r="AA97" i="6"/>
  <c r="Y97" i="6"/>
  <c r="X97" i="6"/>
  <c r="W97" i="6"/>
  <c r="R97" i="6"/>
  <c r="D97" i="6"/>
  <c r="V97" i="6"/>
  <c r="P97" i="6"/>
  <c r="X88" i="6"/>
  <c r="K88" i="6"/>
  <c r="W88" i="6"/>
  <c r="J88" i="6"/>
  <c r="V88" i="6"/>
  <c r="I88" i="6"/>
  <c r="AC88" i="6"/>
  <c r="L88" i="6"/>
  <c r="AF88" i="6"/>
  <c r="O88" i="6"/>
  <c r="AD88" i="6"/>
  <c r="H88" i="6"/>
  <c r="AA88" i="6"/>
  <c r="D88" i="6"/>
  <c r="Z88" i="6"/>
  <c r="Y88" i="6"/>
  <c r="U88" i="6"/>
  <c r="T88" i="6"/>
  <c r="S88" i="6"/>
  <c r="R88" i="6"/>
  <c r="Q88" i="6"/>
  <c r="P88" i="6"/>
  <c r="AG88" i="6"/>
  <c r="M88" i="6"/>
  <c r="F88" i="6"/>
  <c r="AH88" i="6"/>
  <c r="AE88" i="6"/>
  <c r="E88" i="6"/>
  <c r="AF73" i="6"/>
  <c r="AD73" i="6"/>
  <c r="Q73" i="6"/>
  <c r="AA73" i="6"/>
  <c r="M73" i="6"/>
  <c r="Y73" i="6"/>
  <c r="K73" i="6"/>
  <c r="T73" i="6"/>
  <c r="S73" i="6"/>
  <c r="R73" i="6"/>
  <c r="AH73" i="6"/>
  <c r="P73" i="6"/>
  <c r="AG73" i="6"/>
  <c r="H73" i="6"/>
  <c r="AE73" i="6"/>
  <c r="F73" i="6"/>
  <c r="AC73" i="6"/>
  <c r="E73" i="6"/>
  <c r="Z73" i="6"/>
  <c r="D73" i="6"/>
  <c r="X73" i="6"/>
  <c r="L73" i="6"/>
  <c r="W73" i="6"/>
  <c r="J73" i="6"/>
  <c r="I73" i="6"/>
  <c r="V73" i="6"/>
  <c r="U73" i="6"/>
  <c r="O73" i="6"/>
  <c r="AH69" i="6"/>
  <c r="U69" i="6"/>
  <c r="H69" i="6"/>
  <c r="F69" i="6"/>
  <c r="AG69" i="6"/>
  <c r="S69" i="6"/>
  <c r="D69" i="6"/>
  <c r="T69" i="6"/>
  <c r="R69" i="6"/>
  <c r="AF69" i="6"/>
  <c r="Q69" i="6"/>
  <c r="Z69" i="6"/>
  <c r="E69" i="6"/>
  <c r="Y69" i="6"/>
  <c r="X69" i="6"/>
  <c r="W69" i="6"/>
  <c r="I69" i="6"/>
  <c r="P69" i="6"/>
  <c r="L69" i="6"/>
  <c r="AE69" i="6"/>
  <c r="AD69" i="6"/>
  <c r="AC69" i="6"/>
  <c r="AA69" i="6"/>
  <c r="O69" i="6"/>
  <c r="M69" i="6"/>
  <c r="K69" i="6"/>
  <c r="J69" i="6"/>
  <c r="V90" i="6"/>
  <c r="I90" i="6"/>
  <c r="AH90" i="6"/>
  <c r="U90" i="6"/>
  <c r="H90" i="6"/>
  <c r="AG90" i="6"/>
  <c r="T90" i="6"/>
  <c r="F90" i="6"/>
  <c r="AC90" i="6"/>
  <c r="L90" i="6"/>
  <c r="S90" i="6"/>
  <c r="Q90" i="6"/>
  <c r="AA90" i="6"/>
  <c r="D90" i="6"/>
  <c r="Z90" i="6"/>
  <c r="Y90" i="6"/>
  <c r="X90" i="6"/>
  <c r="W90" i="6"/>
  <c r="R90" i="6"/>
  <c r="P90" i="6"/>
  <c r="O90" i="6"/>
  <c r="M90" i="6"/>
  <c r="K90" i="6"/>
  <c r="AF90" i="6"/>
  <c r="AE90" i="6"/>
  <c r="J90" i="6"/>
  <c r="AD90" i="6"/>
  <c r="E90" i="6"/>
  <c r="Y93" i="6"/>
  <c r="L93" i="6"/>
  <c r="X93" i="6"/>
  <c r="K93" i="6"/>
  <c r="W93" i="6"/>
  <c r="J93" i="6"/>
  <c r="AF93" i="6"/>
  <c r="P93" i="6"/>
  <c r="AG93" i="6"/>
  <c r="O93" i="6"/>
  <c r="AD93" i="6"/>
  <c r="I93" i="6"/>
  <c r="R93" i="6"/>
  <c r="Q93" i="6"/>
  <c r="M93" i="6"/>
  <c r="AH93" i="6"/>
  <c r="H93" i="6"/>
  <c r="AE93" i="6"/>
  <c r="F93" i="6"/>
  <c r="AC93" i="6"/>
  <c r="AA93" i="6"/>
  <c r="Z93" i="6"/>
  <c r="V93" i="6"/>
  <c r="U93" i="6"/>
  <c r="D93" i="6"/>
  <c r="T93" i="6"/>
  <c r="S93" i="6"/>
  <c r="E93" i="6"/>
  <c r="AC68" i="6"/>
  <c r="P68" i="6"/>
  <c r="Z68" i="6"/>
  <c r="L68" i="6"/>
  <c r="X68" i="6"/>
  <c r="J68" i="6"/>
  <c r="U68" i="6"/>
  <c r="D68" i="6"/>
  <c r="T68" i="6"/>
  <c r="S68" i="6"/>
  <c r="AH68" i="6"/>
  <c r="R68" i="6"/>
  <c r="M68" i="6"/>
  <c r="K68" i="6"/>
  <c r="AG68" i="6"/>
  <c r="I68" i="6"/>
  <c r="AF68" i="6"/>
  <c r="H68" i="6"/>
  <c r="AD68" i="6"/>
  <c r="AA68" i="6"/>
  <c r="V68" i="6"/>
  <c r="O68" i="6"/>
  <c r="AE68" i="6"/>
  <c r="Y68" i="6"/>
  <c r="W68" i="6"/>
  <c r="Q68" i="6"/>
  <c r="E68" i="6"/>
  <c r="F68" i="6"/>
  <c r="AI81" i="6" l="1"/>
  <c r="AG92" i="6"/>
  <c r="T92" i="6"/>
  <c r="F92" i="6"/>
  <c r="AF92" i="6"/>
  <c r="S92" i="6"/>
  <c r="E92" i="6"/>
  <c r="AE92" i="6"/>
  <c r="R92" i="6"/>
  <c r="D92" i="6"/>
  <c r="AD92" i="6"/>
  <c r="M92" i="6"/>
  <c r="AA92" i="6"/>
  <c r="J92" i="6"/>
  <c r="Y92" i="6"/>
  <c r="H92" i="6"/>
  <c r="Z92" i="6"/>
  <c r="X92" i="6"/>
  <c r="W92" i="6"/>
  <c r="V92" i="6"/>
  <c r="AH92" i="6"/>
  <c r="AC92" i="6"/>
  <c r="U92" i="6"/>
  <c r="Q92" i="6"/>
  <c r="P92" i="6"/>
  <c r="O92" i="6"/>
  <c r="K92" i="6"/>
  <c r="L92" i="6"/>
  <c r="I92" i="6"/>
  <c r="AI79" i="6"/>
  <c r="AI78" i="6"/>
  <c r="AI90" i="6"/>
  <c r="AI73" i="6"/>
  <c r="AI87" i="6"/>
  <c r="AD63" i="6"/>
  <c r="Q63" i="6"/>
  <c r="O63" i="6"/>
  <c r="Y63" i="6"/>
  <c r="J63" i="6"/>
  <c r="X63" i="6"/>
  <c r="I63" i="6"/>
  <c r="W63" i="6"/>
  <c r="H63" i="6"/>
  <c r="V63" i="6"/>
  <c r="F63" i="6"/>
  <c r="U63" i="6"/>
  <c r="T63" i="6"/>
  <c r="S63" i="6"/>
  <c r="R63" i="6"/>
  <c r="K63" i="6"/>
  <c r="AH63" i="6"/>
  <c r="AG63" i="6"/>
  <c r="P63" i="6"/>
  <c r="E63" i="6"/>
  <c r="D63" i="6"/>
  <c r="AF63" i="6"/>
  <c r="AE63" i="6"/>
  <c r="AC63" i="6"/>
  <c r="Z63" i="6"/>
  <c r="M63" i="6"/>
  <c r="L63" i="6"/>
  <c r="AI93" i="6"/>
  <c r="AD77" i="6"/>
  <c r="Q77" i="6"/>
  <c r="AC77" i="6"/>
  <c r="P77" i="6"/>
  <c r="AA77" i="6"/>
  <c r="O77" i="6"/>
  <c r="T77" i="6"/>
  <c r="Z77" i="6"/>
  <c r="I77" i="6"/>
  <c r="X77" i="6"/>
  <c r="F77" i="6"/>
  <c r="U77" i="6"/>
  <c r="S77" i="6"/>
  <c r="R77" i="6"/>
  <c r="M77" i="6"/>
  <c r="H77" i="6"/>
  <c r="E77" i="6"/>
  <c r="AH77" i="6"/>
  <c r="D77" i="6"/>
  <c r="AG77" i="6"/>
  <c r="AF77" i="6"/>
  <c r="L77" i="6"/>
  <c r="AE77" i="6"/>
  <c r="Y77" i="6"/>
  <c r="W77" i="6"/>
  <c r="V77" i="6"/>
  <c r="K77" i="6"/>
  <c r="AD89" i="6"/>
  <c r="Q89" i="6"/>
  <c r="AC89" i="6"/>
  <c r="P89" i="6"/>
  <c r="AA89" i="6"/>
  <c r="O89" i="6"/>
  <c r="Z89" i="6"/>
  <c r="J89" i="6"/>
  <c r="R89" i="6"/>
  <c r="AG89" i="6"/>
  <c r="L89" i="6"/>
  <c r="S89" i="6"/>
  <c r="M89" i="6"/>
  <c r="K89" i="6"/>
  <c r="AH89" i="6"/>
  <c r="I89" i="6"/>
  <c r="W89" i="6"/>
  <c r="V89" i="6"/>
  <c r="U89" i="6"/>
  <c r="T89" i="6"/>
  <c r="H89" i="6"/>
  <c r="X89" i="6"/>
  <c r="D89" i="6"/>
  <c r="AF89" i="6"/>
  <c r="F89" i="6"/>
  <c r="E89" i="6"/>
  <c r="AE89" i="6"/>
  <c r="Y89" i="6"/>
  <c r="AA91" i="6"/>
  <c r="O91" i="6"/>
  <c r="Z91" i="6"/>
  <c r="M91" i="6"/>
  <c r="Y91" i="6"/>
  <c r="L91" i="6"/>
  <c r="AE91" i="6"/>
  <c r="K91" i="6"/>
  <c r="W91" i="6"/>
  <c r="E91" i="6"/>
  <c r="U91" i="6"/>
  <c r="Q91" i="6"/>
  <c r="H91" i="6"/>
  <c r="P91" i="6"/>
  <c r="AH91" i="6"/>
  <c r="J91" i="6"/>
  <c r="AG91" i="6"/>
  <c r="I91" i="6"/>
  <c r="AF91" i="6"/>
  <c r="X91" i="6"/>
  <c r="V91" i="6"/>
  <c r="T91" i="6"/>
  <c r="S91" i="6"/>
  <c r="R91" i="6"/>
  <c r="D91" i="6"/>
  <c r="AD91" i="6"/>
  <c r="AC91" i="6"/>
  <c r="F91" i="6"/>
  <c r="AF71" i="6"/>
  <c r="S71" i="6"/>
  <c r="E71" i="6"/>
  <c r="Y71" i="6"/>
  <c r="K71" i="6"/>
  <c r="W71" i="6"/>
  <c r="I71" i="6"/>
  <c r="U71" i="6"/>
  <c r="T71" i="6"/>
  <c r="R71" i="6"/>
  <c r="AH71" i="6"/>
  <c r="Q71" i="6"/>
  <c r="AD71" i="6"/>
  <c r="F71" i="6"/>
  <c r="AC71" i="6"/>
  <c r="D71" i="6"/>
  <c r="AA71" i="6"/>
  <c r="Z71" i="6"/>
  <c r="X71" i="6"/>
  <c r="H71" i="6"/>
  <c r="M71" i="6"/>
  <c r="AG71" i="6"/>
  <c r="AE71" i="6"/>
  <c r="V71" i="6"/>
  <c r="P71" i="6"/>
  <c r="O71" i="6"/>
  <c r="L71" i="6"/>
  <c r="J71" i="6"/>
  <c r="AG99" i="6"/>
  <c r="T99" i="6"/>
  <c r="AF99" i="6"/>
  <c r="S99" i="6"/>
  <c r="E99" i="6"/>
  <c r="AE99" i="6"/>
  <c r="R99" i="6"/>
  <c r="D99" i="6"/>
  <c r="AD99" i="6"/>
  <c r="Q99" i="6"/>
  <c r="U99" i="6"/>
  <c r="P99" i="6"/>
  <c r="M99" i="6"/>
  <c r="L99" i="6"/>
  <c r="K99" i="6"/>
  <c r="J99" i="6"/>
  <c r="AH99" i="6"/>
  <c r="I99" i="6"/>
  <c r="AC99" i="6"/>
  <c r="H99" i="6"/>
  <c r="F99" i="6"/>
  <c r="Z99" i="6"/>
  <c r="W99" i="6"/>
  <c r="V99" i="6"/>
  <c r="Y99" i="6"/>
  <c r="X99" i="6"/>
  <c r="O99" i="6"/>
  <c r="AA99" i="6"/>
  <c r="AI88" i="6"/>
  <c r="AI68" i="6"/>
  <c r="W67" i="6"/>
  <c r="AF67" i="6"/>
  <c r="R67" i="6"/>
  <c r="D67" i="6"/>
  <c r="AD67" i="6"/>
  <c r="P67" i="6"/>
  <c r="U67" i="6"/>
  <c r="T67" i="6"/>
  <c r="S67" i="6"/>
  <c r="AH67" i="6"/>
  <c r="Q67" i="6"/>
  <c r="Y67" i="6"/>
  <c r="X67" i="6"/>
  <c r="O67" i="6"/>
  <c r="H67" i="6"/>
  <c r="AC67" i="6"/>
  <c r="L67" i="6"/>
  <c r="K67" i="6"/>
  <c r="F67" i="6"/>
  <c r="AE67" i="6"/>
  <c r="AA67" i="6"/>
  <c r="Z67" i="6"/>
  <c r="M67" i="6"/>
  <c r="I67" i="6"/>
  <c r="AI84" i="6"/>
  <c r="AI69" i="6"/>
  <c r="AI83" i="6"/>
  <c r="Y60" i="6"/>
  <c r="L60" i="6"/>
  <c r="W60" i="6"/>
  <c r="I60" i="6"/>
  <c r="V60" i="6"/>
  <c r="H60" i="6"/>
  <c r="U60" i="6"/>
  <c r="F60" i="6"/>
  <c r="AH60" i="6"/>
  <c r="T60" i="6"/>
  <c r="E60" i="6"/>
  <c r="Q60" i="6"/>
  <c r="P60" i="6"/>
  <c r="AG60" i="6"/>
  <c r="O60" i="6"/>
  <c r="AF60" i="6"/>
  <c r="M60" i="6"/>
  <c r="S60" i="6"/>
  <c r="D60" i="6"/>
  <c r="AD60" i="6"/>
  <c r="AA60" i="6"/>
  <c r="R60" i="6"/>
  <c r="K60" i="6"/>
  <c r="J60" i="6"/>
  <c r="AE60" i="6"/>
  <c r="AC60" i="6"/>
  <c r="X60" i="6"/>
  <c r="Z60" i="6"/>
  <c r="AI72" i="6"/>
  <c r="AI66" i="6"/>
  <c r="AI65" i="6"/>
  <c r="AC96" i="6"/>
  <c r="P96" i="6"/>
  <c r="AA96" i="6"/>
  <c r="O96" i="6"/>
  <c r="Z96" i="6"/>
  <c r="M96" i="6"/>
  <c r="AH96" i="6"/>
  <c r="R96" i="6"/>
  <c r="X96" i="6"/>
  <c r="F96" i="6"/>
  <c r="V96" i="6"/>
  <c r="D96" i="6"/>
  <c r="AD96" i="6"/>
  <c r="E96" i="6"/>
  <c r="Y96" i="6"/>
  <c r="W96" i="6"/>
  <c r="U96" i="6"/>
  <c r="T96" i="6"/>
  <c r="H96" i="6"/>
  <c r="AG96" i="6"/>
  <c r="AF96" i="6"/>
  <c r="S96" i="6"/>
  <c r="K96" i="6"/>
  <c r="J96" i="6"/>
  <c r="Q96" i="6"/>
  <c r="L96" i="6"/>
  <c r="I96" i="6"/>
  <c r="AE96" i="6"/>
  <c r="AI80" i="6"/>
  <c r="AI82" i="6"/>
  <c r="AI97" i="6"/>
  <c r="AI86" i="6"/>
  <c r="AG61" i="6" l="1"/>
  <c r="AE61" i="6"/>
  <c r="R61" i="6"/>
  <c r="D61" i="6"/>
  <c r="AH61" i="6"/>
  <c r="S61" i="6"/>
  <c r="AF61" i="6"/>
  <c r="Q61" i="6"/>
  <c r="AD61" i="6"/>
  <c r="P61" i="6"/>
  <c r="AC61" i="6"/>
  <c r="O61" i="6"/>
  <c r="X61" i="6"/>
  <c r="E61" i="6"/>
  <c r="W61" i="6"/>
  <c r="V61" i="6"/>
  <c r="U61" i="6"/>
  <c r="K61" i="6"/>
  <c r="AA61" i="6"/>
  <c r="Y61" i="6"/>
  <c r="T61" i="6"/>
  <c r="J61" i="6"/>
  <c r="I61" i="6"/>
  <c r="H61" i="6"/>
  <c r="F61" i="6"/>
  <c r="Z61" i="6"/>
  <c r="M61" i="6"/>
  <c r="L61" i="6"/>
  <c r="X62" i="6"/>
  <c r="K62" i="6"/>
  <c r="V62" i="6"/>
  <c r="I62" i="6"/>
  <c r="AD62" i="6"/>
  <c r="O62" i="6"/>
  <c r="M62" i="6"/>
  <c r="AA62" i="6"/>
  <c r="L62" i="6"/>
  <c r="Z62" i="6"/>
  <c r="J62" i="6"/>
  <c r="AH62" i="6"/>
  <c r="P62" i="6"/>
  <c r="AG62" i="6"/>
  <c r="H62" i="6"/>
  <c r="AF62" i="6"/>
  <c r="F62" i="6"/>
  <c r="AE62" i="6"/>
  <c r="E62" i="6"/>
  <c r="Q62" i="6"/>
  <c r="T62" i="6"/>
  <c r="D62" i="6"/>
  <c r="Y62" i="6"/>
  <c r="W62" i="6"/>
  <c r="U62" i="6"/>
  <c r="R62" i="6"/>
  <c r="S62" i="6"/>
  <c r="V64" i="6"/>
  <c r="I64" i="6"/>
  <c r="AG64" i="6"/>
  <c r="T64" i="6"/>
  <c r="F64" i="6"/>
  <c r="W64" i="6"/>
  <c r="E64" i="6"/>
  <c r="U64" i="6"/>
  <c r="D64" i="6"/>
  <c r="S64" i="6"/>
  <c r="AH64" i="6"/>
  <c r="R64" i="6"/>
  <c r="AE64" i="6"/>
  <c r="K64" i="6"/>
  <c r="AD64" i="6"/>
  <c r="J64" i="6"/>
  <c r="AC64" i="6"/>
  <c r="H64" i="6"/>
  <c r="AA64" i="6"/>
  <c r="Z64" i="6"/>
  <c r="Y64" i="6"/>
  <c r="X64" i="6"/>
  <c r="P64" i="6"/>
  <c r="O64" i="6"/>
  <c r="AF64" i="6"/>
  <c r="Q64" i="6"/>
  <c r="M64" i="6"/>
  <c r="L64" i="6"/>
  <c r="AI71" i="6"/>
  <c r="AI77" i="6"/>
  <c r="AI96" i="6"/>
  <c r="AI91" i="6"/>
  <c r="AI92" i="6"/>
  <c r="AI60" i="6"/>
  <c r="AI63" i="6"/>
  <c r="AI89" i="6"/>
  <c r="AI67" i="6"/>
  <c r="AG59" i="6"/>
  <c r="T59" i="6"/>
  <c r="F59" i="6"/>
  <c r="AC59" i="6"/>
  <c r="O59" i="6"/>
  <c r="AA59" i="6"/>
  <c r="M59" i="6"/>
  <c r="Z59" i="6"/>
  <c r="L59" i="6"/>
  <c r="Y59" i="6"/>
  <c r="K59" i="6"/>
  <c r="AE59" i="6"/>
  <c r="H59" i="6"/>
  <c r="AD59" i="6"/>
  <c r="E59" i="6"/>
  <c r="X59" i="6"/>
  <c r="D59" i="6"/>
  <c r="W59" i="6"/>
  <c r="S59" i="6"/>
  <c r="R59" i="6"/>
  <c r="Q59" i="6"/>
  <c r="P59" i="6"/>
  <c r="J59" i="6"/>
  <c r="I59" i="6"/>
  <c r="AH59" i="6"/>
  <c r="U59" i="6"/>
  <c r="AF59" i="6"/>
  <c r="V59" i="6"/>
  <c r="AI99" i="6"/>
  <c r="K107" i="6" l="1"/>
  <c r="AH107" i="6"/>
  <c r="AG107" i="6"/>
  <c r="O107" i="6"/>
  <c r="AC107" i="6"/>
  <c r="V107" i="6"/>
  <c r="AF107" i="6"/>
  <c r="F107" i="6"/>
  <c r="X107" i="6"/>
  <c r="AD107" i="6"/>
  <c r="T107" i="6"/>
  <c r="U107" i="6"/>
  <c r="AE107" i="6"/>
  <c r="J107" i="6"/>
  <c r="L107" i="6"/>
  <c r="AI61" i="6"/>
  <c r="Q107" i="6"/>
  <c r="R107" i="6"/>
  <c r="Z107" i="6"/>
  <c r="D107" i="6"/>
  <c r="AI59" i="6"/>
  <c r="E107" i="6"/>
  <c r="H107" i="6"/>
  <c r="P107" i="6"/>
  <c r="S107" i="6"/>
  <c r="M107" i="6"/>
  <c r="AI62" i="6"/>
  <c r="AI64" i="6"/>
  <c r="I107" i="6"/>
  <c r="Y107" i="6"/>
  <c r="W107" i="6"/>
  <c r="AA107" i="6"/>
  <c r="AI10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</author>
    <author>EFE</author>
    <author>Usuario</author>
  </authors>
  <commentList>
    <comment ref="Z5" authorId="0" shapeId="0" xr:uid="{DABEB1BF-A280-4796-BCE4-4F20BFB6D69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Monto si la persona tendria asistencia perfecta
</t>
        </r>
      </text>
    </comment>
    <comment ref="AA5" authorId="0" shapeId="0" xr:uid="{762776A3-A931-45B8-BBFC-7E5E73ACDFDF}">
      <text>
        <r>
          <rPr>
            <b/>
            <sz val="9"/>
            <color indexed="81"/>
            <rFont val="Tahoma"/>
            <family val="2"/>
          </rPr>
          <t>LENOVO:SUELDO NETO TOTAL</t>
        </r>
      </text>
    </comment>
    <comment ref="AB5" authorId="0" shapeId="0" xr:uid="{7CB0E6EF-ADCA-4607-AAB0-8F68C9F2B8E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SUELDO BRUTO= (S. Bruto blanco+Essalud blanco)+Diferencia negro</t>
        </r>
      </text>
    </comment>
    <comment ref="AC5" authorId="0" shapeId="0" xr:uid="{4CBFE88C-729A-411A-BC3C-35B153F288A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DIAS LABORABLES
</t>
        </r>
      </text>
    </comment>
    <comment ref="AG5" authorId="0" shapeId="0" xr:uid="{2D32D0A8-AEBA-41E9-9092-901BFEE46B8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Monto de la diferencia de acuerdo a las horas trabajadas (descontando las faltas de cada persona)
</t>
        </r>
      </text>
    </comment>
    <comment ref="AA7" authorId="1" shapeId="0" xr:uid="{FDAEF9DC-8AAF-4653-BB59-5166B888BB7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2400 desde noviembre
2300 desde Mayo
LO CUAL NO TENIA CONOCIEMIENTO HASTA ABRIL 2025
</t>
        </r>
      </text>
    </comment>
    <comment ref="B18" authorId="1" shapeId="0" xr:uid="{0CCC0F38-EB29-4537-8443-BCD280A34C9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02/01/2025</t>
        </r>
      </text>
    </comment>
    <comment ref="B22" authorId="1" shapeId="0" xr:uid="{403B17A6-B46A-4259-AFAC-61B1E45A17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I35" authorId="2" shapeId="0" xr:uid="{599A3F14-0760-4129-9815-868D56BEAE93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I36" authorId="2" shapeId="0" xr:uid="{0525D039-F36F-4DF1-A5A4-577D7EE391F0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B43" authorId="1" shapeId="0" xr:uid="{10422BCE-D95A-42BF-A9AA-670D293DA6C2}">
      <text>
        <r>
          <rPr>
            <b/>
            <sz val="9"/>
            <color indexed="81"/>
            <rFont val="Tahoma"/>
            <family val="2"/>
          </rPr>
          <t>USUARIO:
Ingreso 13/01/2025</t>
        </r>
      </text>
    </comment>
    <comment ref="I45" authorId="2" shapeId="0" xr:uid="{CB8754CE-BEE3-4083-9945-CA13E01BF353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MAYORES DE 65 AÑOS EXONERADO DE PRIMA 1.37 %
TIENE 65 AÑOS A PARTIR DE 09/2023</t>
        </r>
      </text>
    </comment>
    <comment ref="B46" authorId="2" shapeId="0" xr:uid="{C0B623B2-B28F-4714-94FC-F949BF33502E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Ingresa 18/09/2023</t>
        </r>
      </text>
    </comment>
    <comment ref="I47" authorId="2" shapeId="0" xr:uid="{AF721506-56B1-4278-ADAD-53E07BD4042C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 DE 65 AÑOS EXONERADOS DE PRIMA</t>
        </r>
      </text>
    </comment>
    <comment ref="B49" authorId="3" shapeId="0" xr:uid="{F22AD9AA-44EB-4E66-9DED-1E201FC746B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01/08/2023</t>
        </r>
      </text>
    </comment>
    <comment ref="B51" authorId="3" shapeId="0" xr:uid="{2B1D05CB-9D09-4472-892F-5AD2D9ECE12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  <comment ref="B53" authorId="1" shapeId="0" xr:uid="{62009F65-5427-45F1-9ADB-803C656D2F4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B54" authorId="3" shapeId="0" xr:uid="{71D50D5A-EAB7-4747-A248-CAF3A9567F8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  <comment ref="F58" authorId="1" shapeId="0" xr:uid="{B8E6DF04-6969-4CDC-B7FF-C63F88BABD2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SUELDO BRUTO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EFE</author>
    <author>Usuario</author>
  </authors>
  <commentList>
    <comment ref="B18" authorId="0" shapeId="0" xr:uid="{D9A031E9-744C-42BA-940F-C569805C422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02/01/2025</t>
        </r>
      </text>
    </comment>
    <comment ref="B22" authorId="0" shapeId="0" xr:uid="{7BD8FB61-6A67-407D-92C3-4EA8D5CDE35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AN35" authorId="1" shapeId="0" xr:uid="{1A25AAAC-9A79-456F-A8F4-15130A6709C1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AN36" authorId="1" shapeId="0" xr:uid="{395A80D7-990A-4366-8611-DB367D1EB67F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B43" authorId="0" shapeId="0" xr:uid="{042158C9-977D-4614-AF0F-7D67FC00757F}">
      <text>
        <r>
          <rPr>
            <b/>
            <sz val="9"/>
            <color indexed="81"/>
            <rFont val="Tahoma"/>
            <family val="2"/>
          </rPr>
          <t>USUARIO:
Ingreso 13/01/2025</t>
        </r>
      </text>
    </comment>
    <comment ref="AN45" authorId="1" shapeId="0" xr:uid="{37B34625-E820-44B0-BE36-60C9F00826FD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MAYORES DE 65 AÑOS EXONERADO DE PRIMA 1.37 %
TIENE 65 AÑOS A PARTIR DE 09/2023</t>
        </r>
      </text>
    </comment>
    <comment ref="B46" authorId="1" shapeId="0" xr:uid="{18BAC089-2A26-4E35-9B0F-B27A31DB7FE2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Ingresa 18/09/2023</t>
        </r>
      </text>
    </comment>
    <comment ref="AN47" authorId="1" shapeId="0" xr:uid="{E2CE4DB9-4681-47D2-83D5-1837616293BF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 DE 65 AÑOS EXONERADOS DE PRIMA</t>
        </r>
      </text>
    </comment>
    <comment ref="B49" authorId="2" shapeId="0" xr:uid="{5770442C-C412-4E41-B89A-567BE08BAC5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01/08/2023</t>
        </r>
      </text>
    </comment>
    <comment ref="B51" authorId="2" shapeId="0" xr:uid="{946DB1B2-BCEB-44F3-BF35-C2150914435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  <comment ref="B53" authorId="0" shapeId="0" xr:uid="{5DD8085F-5466-45B8-857F-34C5451CE06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B54" authorId="2" shapeId="0" xr:uid="{DD33569D-5459-443D-B5EF-CF872CE6C3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LENOVO</author>
  </authors>
  <commentList>
    <comment ref="V8" authorId="0" shapeId="0" xr:uid="{3E3FF3DE-1AA2-4A20-A306-E264DA4A77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19AL 20 DE ENERO</t>
        </r>
      </text>
    </comment>
    <comment ref="W8" authorId="0" shapeId="0" xr:uid="{960C397E-95E4-4A99-83EE-57CD678718A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19AL 20 DE ENERO</t>
        </r>
      </text>
    </comment>
    <comment ref="H10" authorId="0" shapeId="0" xr:uid="{E74F9C26-5E82-477E-9168-577E4DDC6B1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07/01/2026</t>
        </r>
      </text>
    </comment>
    <comment ref="I10" authorId="0" shapeId="0" xr:uid="{67EB5397-0EAB-47CB-B51A-D9ECA5DAD2B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07/01/2026</t>
        </r>
      </text>
    </comment>
    <comment ref="J10" authorId="0" shapeId="0" xr:uid="{0CE2C456-8EC3-40BA-A30E-CBBE23D32C2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07/01/2026</t>
        </r>
      </text>
    </comment>
    <comment ref="J11" authorId="0" shapeId="0" xr:uid="{FDBE2A2F-65CE-4D12-A3F7-005B8BF9BA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AREQUIPA REHABILITACION</t>
        </r>
      </text>
    </comment>
    <comment ref="Q11" authorId="0" shapeId="0" xr:uid="{F7CE4BF1-C4DF-4109-A639-8680368C61F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AREQUIPA REHABILITACION</t>
        </r>
      </text>
    </comment>
    <comment ref="X11" authorId="0" shapeId="0" xr:uid="{F568D3C9-50B9-42F4-83AF-4BD3008AD63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21  DE ENERO</t>
        </r>
      </text>
    </comment>
    <comment ref="AC11" authorId="0" shapeId="0" xr:uid="{99A371F1-4084-4B35-B8EE-E6590DD79E1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AD11" authorId="0" shapeId="0" xr:uid="{67A0F619-51B4-4024-92CC-1A689E1AC16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H12" authorId="0" shapeId="0" xr:uid="{AB8749E0-A587-4259-9D86-9BE369BE956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06/01/2026</t>
        </r>
      </text>
    </comment>
    <comment ref="I12" authorId="0" shapeId="0" xr:uid="{E7BFA68E-237B-4D22-B4F3-9ED1BEC0CAC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06/01/2026</t>
        </r>
      </text>
    </comment>
    <comment ref="J12" authorId="0" shapeId="0" xr:uid="{216FB2D9-86C4-496A-AE61-5886D44A0D1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07 Y 08</t>
        </r>
      </text>
    </comment>
    <comment ref="K12" authorId="0" shapeId="0" xr:uid="{F801EBC6-13A4-4DBC-9F02-C2A099BFEBB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07 Y 08</t>
        </r>
      </text>
    </comment>
    <comment ref="O12" authorId="0" shapeId="0" xr:uid="{4B67EDB3-77A3-457F-AF39-C27CF16AAB5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P12" authorId="0" shapeId="0" xr:uid="{29E8F3EF-2B48-4181-B131-5E816070BE8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Q12" authorId="0" shapeId="0" xr:uid="{1ECC3DA4-6038-4DBF-BE73-7A6C3109834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R12" authorId="0" shapeId="0" xr:uid="{F853AEC5-6A12-4B08-8430-EEA7832686C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S12" authorId="0" shapeId="0" xr:uid="{8A26A5EA-B3A7-4D4D-AB85-AA93E150441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T12" authorId="0" shapeId="0" xr:uid="{8622D3C5-8837-443B-986E-D61D405BFC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Z13" authorId="0" shapeId="0" xr:uid="{567A9E19-1DEF-475A-9952-CF84C4EA39B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A13" authorId="0" shapeId="0" xr:uid="{EC7CD859-EA28-4802-AEFB-3C157F47C81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C13" authorId="0" shapeId="0" xr:uid="{136C0114-2B87-4F1F-91A3-C88AE5B59C2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D13" authorId="0" shapeId="0" xr:uid="{1BF88F2F-452E-401B-8B9B-ADA5786E64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D15" authorId="0" shapeId="0" xr:uid="{8D44CE5B-DCE9-4865-A4B1-EACE1F31474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27 DE ENERO</t>
        </r>
      </text>
    </comment>
    <comment ref="L16" authorId="0" shapeId="0" xr:uid="{775B862A-7374-49FB-A10E-35363E57E9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09 Y 10</t>
        </r>
      </text>
    </comment>
    <comment ref="M16" authorId="0" shapeId="0" xr:uid="{F6918907-305A-4FB3-B284-98BE5B4B144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09 Y 10</t>
        </r>
      </text>
    </comment>
    <comment ref="V18" authorId="0" shapeId="0" xr:uid="{ABF281FA-F8BF-441D-A79E-B4BBA2F535C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W18" authorId="0" shapeId="0" xr:uid="{4B9EB666-5327-483D-A37A-83C2599546C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X18" authorId="0" shapeId="0" xr:uid="{F0D533E8-7790-42F2-8480-149F6F247B7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Y18" authorId="0" shapeId="0" xr:uid="{CF5476E1-A98E-4771-96EA-2D968F9BA78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Z18" authorId="0" shapeId="0" xr:uid="{21F65508-3B97-4C64-99BD-12DBEE67A1A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A18" authorId="0" shapeId="0" xr:uid="{CEC74B24-8B85-4F86-B42F-E34D5A4DB4D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C18" authorId="0" shapeId="0" xr:uid="{6E4BC6EA-4408-4DC5-8D3A-16F59E7AA4B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D18" authorId="0" shapeId="0" xr:uid="{ED2902CD-8496-4767-A649-C4BE61534AE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E18" authorId="0" shapeId="0" xr:uid="{9DEB30B4-28CE-4371-837D-B463396589C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F18" authorId="0" shapeId="0" xr:uid="{C6A53C41-7D13-484E-953B-E4B0496DC7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G18" authorId="0" shapeId="0" xr:uid="{690171F4-C67F-4596-9888-559AFB05CC9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H18" authorId="0" shapeId="0" xr:uid="{9FE44EEF-AFB0-45C0-A433-6B57A9F7E4F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E19" authorId="0" shapeId="0" xr:uid="{223DC041-6166-46B6-AC62-93CB7B6B195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28/01
NO HAY DOCUMENTO PERO LA SRA FLAVIA ASEGURA HABER RECIBIDO EL CERTIFICADO MEDICO</t>
        </r>
      </text>
    </comment>
    <comment ref="K21" authorId="0" shapeId="0" xr:uid="{549A2F1B-A13B-4DAE-A38A-264ED4F69F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08 Y 09</t>
        </r>
      </text>
    </comment>
    <comment ref="L21" authorId="0" shapeId="0" xr:uid="{709D722A-EECF-460B-BC64-431CED92E53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08 Y 09</t>
        </r>
      </text>
    </comment>
    <comment ref="M21" authorId="0" shapeId="0" xr:uid="{43C72B58-42A0-4819-B016-177C6D9B192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</t>
        </r>
      </text>
    </comment>
    <comment ref="W21" authorId="0" shapeId="0" xr:uid="{5B092740-770E-4006-AA99-F07BBA40B50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20  DE ENERO</t>
        </r>
      </text>
    </comment>
    <comment ref="J22" authorId="0" shapeId="0" xr:uid="{15B68BC7-376C-4F01-825E-4090D137780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D23" authorId="0" shapeId="0" xr:uid="{4DCC20D5-F869-4AF7-A150-3BCE18F3147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E23" authorId="0" shapeId="0" xr:uid="{5056F455-8E4D-441F-874E-37842245A1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F23" authorId="0" shapeId="0" xr:uid="{C722C480-D49F-4C24-959C-1A0B1361B5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H23" authorId="0" shapeId="0" xr:uid="{B47C5709-96B4-4AF0-8C95-F0E9265FA99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I23" authorId="0" shapeId="0" xr:uid="{A2D530C5-DC5D-480B-AA77-82EF93DA10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J23" authorId="0" shapeId="0" xr:uid="{C04F8A76-9D7E-403C-B4CA-D6371CB1213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K23" authorId="0" shapeId="0" xr:uid="{3FDC1C04-B8C2-476D-BCEF-3999F039780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L23" authorId="0" shapeId="0" xr:uid="{70448D83-604F-45E5-A0B2-2CD64FB36D3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M23" authorId="0" shapeId="0" xr:uid="{AFE518ED-7474-4635-95B2-C5783C046CB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O23" authorId="0" shapeId="0" xr:uid="{EC91D3E4-2262-4415-B0F8-A1AC61AB403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P23" authorId="0" shapeId="0" xr:uid="{ABE8828A-97A5-4D75-8770-54903C2F510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Q23" authorId="0" shapeId="0" xr:uid="{A4FA4C94-B84A-44D1-A4EC-F551432D9AE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R23" authorId="0" shapeId="0" xr:uid="{D3192FC4-56C7-4EF5-BE94-00EE9EB57D1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S23" authorId="0" shapeId="0" xr:uid="{936BE2FC-92A3-4C1D-9D4B-C26195B961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T23" authorId="0" shapeId="0" xr:uid="{10B426CF-26BB-40CD-A00C-C4E9ED497C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V23" authorId="0" shapeId="0" xr:uid="{ACDE036C-F759-4D51-86F1-E3C60D8164F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W23" authorId="0" shapeId="0" xr:uid="{003CD145-D48E-4CEA-A7B9-B93CDF4675D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X23" authorId="0" shapeId="0" xr:uid="{AE70919A-FDCD-49CC-B5E9-62A7D03956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Y23" authorId="0" shapeId="0" xr:uid="{934EA81A-E77C-43A1-929F-5DE61D35F61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Z23" authorId="0" shapeId="0" xr:uid="{E5DF4988-6C51-492D-882F-FF9D5D40A0B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A23" authorId="0" shapeId="0" xr:uid="{AD94FD20-49F4-4010-B927-AD4E6FA9B99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C23" authorId="0" shapeId="0" xr:uid="{E22973EB-6E3D-4F47-B94E-E7137A17725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D23" authorId="0" shapeId="0" xr:uid="{20E8C6E1-2580-46B9-AA47-836548F40B0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E23" authorId="0" shapeId="0" xr:uid="{4F1CF3D3-A2B6-464B-AFB1-0EE9AAA6EE6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F23" authorId="0" shapeId="0" xr:uid="{D3927DE2-E012-45A1-B74E-404B7D552AC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G23" authorId="0" shapeId="0" xr:uid="{DCB6C8F4-EFF7-4CDA-ADB1-C597599425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H23" authorId="0" shapeId="0" xr:uid="{242602C9-153D-48D5-9CF4-855E5E0C94C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T25" authorId="0" shapeId="0" xr:uid="{1E208533-8BF7-477C-A284-D7A98E069F0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</t>
        </r>
      </text>
    </comment>
    <comment ref="AH25" authorId="0" shapeId="0" xr:uid="{DDB8DD93-19D4-42AC-A387-5E70FC916A1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AC26" authorId="0" shapeId="0" xr:uid="{828B6F5F-9A5C-4698-979F-77A1E6F0BA6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
</t>
        </r>
      </text>
    </comment>
    <comment ref="AH26" authorId="0" shapeId="0" xr:uid="{FAA15133-92B7-4874-9609-06D20A36875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AC32" authorId="0" shapeId="0" xr:uid="{A7C4B930-3C6E-43DE-AE4D-6C90CDB5C0E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AD32" authorId="0" shapeId="0" xr:uid="{937FBA45-1ED1-4041-B0AE-40B76F61ECC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D34" authorId="0" shapeId="0" xr:uid="{D0BC8A6D-AAF6-46B5-8C7C-BDF962668A4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CON GOCE POR AUTORIZACION DEL ING LUCIO (INDEFINIDO)</t>
        </r>
      </text>
    </comment>
    <comment ref="E34" authorId="0" shapeId="0" xr:uid="{9E28FBA9-BD42-4478-B170-3B25551DCA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F34" authorId="0" shapeId="0" xr:uid="{1DDF121B-47E7-410C-AFA1-7A209D3841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H34" authorId="0" shapeId="0" xr:uid="{F8071A47-7E6A-4359-B358-A70920DF13F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I34" authorId="0" shapeId="0" xr:uid="{56468BCD-DB22-47A3-90E1-33F7E1575D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J34" authorId="0" shapeId="0" xr:uid="{0CD2994D-9DA6-43EC-86A4-55B132B9272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K34" authorId="0" shapeId="0" xr:uid="{BF846390-BFF2-479F-8CD8-EDE1A53ACE6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L34" authorId="0" shapeId="0" xr:uid="{9D946359-EA32-408E-8C2E-16647B107F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M34" authorId="0" shapeId="0" xr:uid="{5AF4C050-5E2C-45E4-9AA2-B353FD1E84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O34" authorId="0" shapeId="0" xr:uid="{7C5DAC1F-2B9C-4E63-B607-14BE4D48836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P34" authorId="0" shapeId="0" xr:uid="{7285DC5F-AA44-4DBB-B252-1F67F386DE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Q34" authorId="0" shapeId="0" xr:uid="{2938A5F4-6CA0-48BA-A125-C300D384687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R34" authorId="0" shapeId="0" xr:uid="{5A7526A9-FC54-4CCC-8717-6DC8E2FF4C0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S34" authorId="0" shapeId="0" xr:uid="{B891538D-9DBD-4E19-8BEE-6F7E3FD535F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T34" authorId="0" shapeId="0" xr:uid="{AC2186ED-CCC2-41A0-87B4-221EA5B873D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V34" authorId="0" shapeId="0" xr:uid="{8EBC9C96-9244-416A-9BB8-378CB900FB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W34" authorId="0" shapeId="0" xr:uid="{E84AF4ED-9983-406B-8927-4597086D554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X34" authorId="0" shapeId="0" xr:uid="{D96C1B54-3EA8-4181-91B4-F182172D97B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Y34" authorId="0" shapeId="0" xr:uid="{76367C59-2411-47F2-BA52-B5AA768C7CF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Z34" authorId="0" shapeId="0" xr:uid="{6CB0192B-3047-4170-B97E-E20614707E0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A34" authorId="0" shapeId="0" xr:uid="{C50F7550-8002-4491-82F6-684327D6D09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C34" authorId="0" shapeId="0" xr:uid="{015E4379-5688-4D3E-BEB6-4A3D986E639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D34" authorId="0" shapeId="0" xr:uid="{D5536ABD-4892-46B3-AAC4-866838A9789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E34" authorId="0" shapeId="0" xr:uid="{E143D356-7607-4DCD-BE4D-EB6D376F049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F34" authorId="0" shapeId="0" xr:uid="{4686E759-48A0-4EEF-A40A-A135199D4E5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G34" authorId="0" shapeId="0" xr:uid="{16776F5F-25F0-4CDF-81A1-F49802B619A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H34" authorId="0" shapeId="0" xr:uid="{6D8883FF-E6F4-44F9-8B78-E7D114F61CE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X36" authorId="0" shapeId="0" xr:uid="{E53A965D-ECC4-4A78-9075-6209623CCFE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Y36" authorId="0" shapeId="0" xr:uid="{A282D50F-2BF4-4423-9776-F0CCAF3FF62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CON GOCE POR SALUD</t>
        </r>
      </text>
    </comment>
    <comment ref="D40" authorId="0" shapeId="0" xr:uid="{6AF6636E-A2B0-45B5-97E3-0F9C2BA329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E40" authorId="0" shapeId="0" xr:uid="{7E30D8B9-253D-424B-9562-3A4F859A8F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F40" authorId="0" shapeId="0" xr:uid="{373D09EA-0719-4B5A-9CDF-B5B77F96A69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H40" authorId="0" shapeId="0" xr:uid="{87AAEF4B-5448-4179-93D7-F8728DA0AF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I40" authorId="0" shapeId="0" xr:uid="{0668BD75-76FE-44FB-B2CE-05EC396C5EB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J40" authorId="0" shapeId="0" xr:uid="{4EEA5230-EF5F-44A8-917F-71426B10CE8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K40" authorId="0" shapeId="0" xr:uid="{15A57A42-F069-462E-9D5F-A88186910EB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L40" authorId="0" shapeId="0" xr:uid="{C1DA838F-6387-4ECC-AA29-7E1A2720FBD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M40" authorId="0" shapeId="0" xr:uid="{DE271875-ED3A-4098-9B31-AA456CB6BE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O40" authorId="0" shapeId="0" xr:uid="{FECB2517-1741-48B7-9FAB-40216587DA1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P40" authorId="0" shapeId="0" xr:uid="{C6746DC4-B8BE-4518-A9EB-08EF99EDD39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Q40" authorId="0" shapeId="0" xr:uid="{1B098F28-06FF-42BB-87A0-1046B194646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R40" authorId="0" shapeId="0" xr:uid="{14B41AF8-38E9-4B1F-AE06-AAE316D5E4E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S40" authorId="0" shapeId="0" xr:uid="{6D3848D6-2D2D-48F7-9432-41E14B76970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T40" authorId="0" shapeId="0" xr:uid="{2991193A-2148-43EA-B8B4-A18BE230BA4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V40" authorId="0" shapeId="0" xr:uid="{9A50765E-20CF-4BF6-8E8A-89C35EA673E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W40" authorId="0" shapeId="0" xr:uid="{69949614-6095-4474-9990-AE330606CBC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X40" authorId="0" shapeId="0" xr:uid="{272DC367-E49A-479A-92C8-3B877288E4A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Y40" authorId="0" shapeId="0" xr:uid="{69EB81B2-09F7-4E5D-90DC-BC36163AA30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Z40" authorId="0" shapeId="0" xr:uid="{B79A2F75-C2BE-454C-B7FC-224B5A3885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A40" authorId="0" shapeId="0" xr:uid="{779AE65E-9EEE-4755-BA03-0197A0FA878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C40" authorId="0" shapeId="0" xr:uid="{97F64FD4-AB3A-436E-95D7-C74BAB8E3AD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D40" authorId="0" shapeId="0" xr:uid="{BA390585-A922-41B9-B6AD-E1DEA8A819B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E40" authorId="0" shapeId="0" xr:uid="{FDDEE95C-2561-4D2C-93C9-E4E26D3FCF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F40" authorId="0" shapeId="0" xr:uid="{3EFCEBF1-03C2-4667-8782-A352C68CF2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G40" authorId="0" shapeId="0" xr:uid="{8EF1CE2D-F937-4587-8BF0-22DC0C29579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H40" authorId="0" shapeId="0" xr:uid="{CA2DA6DE-0709-421C-88B0-5D9BE5FB618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L41" authorId="0" shapeId="0" xr:uid="{74B87A26-BFB5-42D8-9E2D-35FF81C6660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Y41" authorId="0" shapeId="0" xr:uid="{5998DF32-CAD8-4788-800A-BED87DF2B08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
</t>
        </r>
      </text>
    </comment>
    <comment ref="AH41" authorId="0" shapeId="0" xr:uid="{4BB1AD3E-81FF-414D-9536-25E2E07CC2F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 con  horas acumuladas</t>
        </r>
      </text>
    </comment>
    <comment ref="C43" authorId="0" shapeId="0" xr:uid="{3C95812D-D823-4D54-9740-63B145D7EA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13/01/2025
</t>
        </r>
      </text>
    </comment>
    <comment ref="M43" authorId="0" shapeId="0" xr:uid="{8A68A3AF-333B-46BF-A03C-D518AB8488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Y43" authorId="0" shapeId="0" xr:uid="{25F4A8C5-5057-49E7-963A-E9BF3B1B10D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
</t>
        </r>
      </text>
    </comment>
    <comment ref="AA43" authorId="0" shapeId="0" xr:uid="{C0870963-BF8C-471C-9063-476ABCEDB31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</t>
        </r>
      </text>
    </comment>
    <comment ref="D45" authorId="0" shapeId="0" xr:uid="{CA14C70E-CA82-4B35-9644-8549812F25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E45" authorId="0" shapeId="0" xr:uid="{AAE52525-B7C6-48F4-86A2-8385FA38237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F45" authorId="0" shapeId="0" xr:uid="{6A8E7C24-695C-4DFD-A163-B3E9DD766C2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H45" authorId="0" shapeId="0" xr:uid="{2F49BE61-D014-4F4B-AB70-05985CA322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I45" authorId="0" shapeId="0" xr:uid="{50EB9027-6FDC-4242-A0C0-36AE78DBFD2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J45" authorId="0" shapeId="0" xr:uid="{060F180B-E037-4752-A161-F1D7EC7A5C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K50" authorId="0" shapeId="0" xr:uid="{52DCB5E8-AB4C-40F2-AF47-D57029DBF98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 rhoras acumuladas
</t>
        </r>
      </text>
    </comment>
    <comment ref="AD50" authorId="0" shapeId="0" xr:uid="{94522462-9DA4-4F39-8FF4-E3ABBE3E009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27 DE ENERO</t>
        </r>
      </text>
    </comment>
    <comment ref="AE50" authorId="0" shapeId="0" xr:uid="{5FED28E7-A3CC-4A96-B6EC-B1B29FF5AA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28/01</t>
        </r>
      </text>
    </comment>
    <comment ref="L51" authorId="0" shapeId="0" xr:uid="{BBB91CA8-8940-456D-A106-18BE9E49099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M51" authorId="0" shapeId="0" xr:uid="{8F3C4485-0163-4CB6-A4A9-2DE4A27BC9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O51" authorId="0" shapeId="0" xr:uid="{28B543E7-73F9-4332-A244-94144E0CA3E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P51" authorId="0" shapeId="0" xr:uid="{918E3000-998A-4FC7-A493-23A0F8FCD3A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Q51" authorId="0" shapeId="0" xr:uid="{1D6DF2D5-34C3-476B-852A-C79183CCC81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R51" authorId="0" shapeId="0" xr:uid="{3FC86990-FF38-4632-B794-F981A87C644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S51" authorId="0" shapeId="0" xr:uid="{06266C42-2EAA-4FF1-98C4-913C684D5A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T51" authorId="0" shapeId="0" xr:uid="{B198E34C-A984-41E0-AF57-25DA26AC438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R52" authorId="0" shapeId="0" xr:uid="{1FBB9951-2B19-4D78-BEAC-A3520DB2AF64}">
      <text>
        <r>
          <rPr>
            <b/>
            <sz val="9"/>
            <color indexed="81"/>
            <rFont val="Tahoma"/>
            <family val="2"/>
          </rPr>
          <t xml:space="preserve">USUARIO:Por horas acumuladas
</t>
        </r>
      </text>
    </comment>
    <comment ref="T52" authorId="0" shapeId="0" xr:uid="{A94678F2-0796-4929-B552-D2B5B357B5D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V52" authorId="0" shapeId="0" xr:uid="{175776A9-EE6E-438C-890D-3EF2EBA339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W52" authorId="0" shapeId="0" xr:uid="{58752ABE-2BD2-40B9-A83F-8DA65B76BA7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X52" authorId="0" shapeId="0" xr:uid="{43A10C63-582B-489F-A10C-4CCD347F749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Y52" authorId="0" shapeId="0" xr:uid="{03AD1A46-7F01-4CDA-B6FC-E6AAB6A9D1A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Z52" authorId="0" shapeId="0" xr:uid="{3F4F6393-95CD-4F4D-A644-6BECF555327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A52" authorId="0" shapeId="0" xr:uid="{6E64D6AF-C408-48B6-AC1B-B700EFCF6CA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C52" authorId="0" shapeId="0" xr:uid="{CD6A1739-40BA-4C63-8C09-78EA283EB4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D52" authorId="0" shapeId="0" xr:uid="{6965E0EF-A135-46A3-BBE0-F112A31295C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E52" authorId="0" shapeId="0" xr:uid="{6911446C-2E1E-49DF-A9CF-AEC8B8E4686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F52" authorId="0" shapeId="0" xr:uid="{68636688-E03C-4A2F-A360-CDF140C98AC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G52" authorId="0" shapeId="0" xr:uid="{22568576-B184-418A-9541-17E4FD7D8FB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H52" authorId="0" shapeId="0" xr:uid="{03BB3900-319E-4FA9-B0E9-743874BFFF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L53" authorId="0" shapeId="0" xr:uid="{C0E06C9B-D3EE-4A74-B7D3-6C5A0A4C2E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</t>
        </r>
      </text>
    </comment>
    <comment ref="O53" authorId="0" shapeId="0" xr:uid="{8F84A927-A9AD-4099-8470-AC522EB2526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</t>
        </r>
      </text>
    </comment>
    <comment ref="P53" authorId="0" shapeId="0" xr:uid="{DE1CD431-1B4A-43CD-8421-D49B1C578D6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S53" authorId="0" shapeId="0" xr:uid="{E8EF8407-1D97-4088-A69D-04EA47E2A3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T53" authorId="0" shapeId="0" xr:uid="{F0084180-52A9-445B-9B01-D2FA1C7C244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E54" authorId="0" shapeId="0" xr:uid="{07CFD576-3680-40D4-BBCE-775692F6149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SIN GOCE DE HABER DEL 29 AL  03/01</t>
        </r>
      </text>
    </comment>
    <comment ref="F54" authorId="0" shapeId="0" xr:uid="{4EA578DF-D9AF-41F6-AD7E-7CCF54034CD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SIN GOCE DE HABER DEL 29 AL  03/01</t>
        </r>
      </text>
    </comment>
    <comment ref="AI107" authorId="1" shapeId="0" xr:uid="{84FD356D-A97A-4117-8759-7452F63A0AD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Este es el monto del SUELDO NETO + ESSALUD =SUELDO BRUTO</t>
        </r>
      </text>
    </comment>
  </commentList>
</comments>
</file>

<file path=xl/sharedStrings.xml><?xml version="1.0" encoding="utf-8"?>
<sst xmlns="http://schemas.openxmlformats.org/spreadsheetml/2006/main" count="560" uniqueCount="198">
  <si>
    <t>TOTAL</t>
  </si>
  <si>
    <t>Horas</t>
  </si>
  <si>
    <t>FDM</t>
  </si>
  <si>
    <t>SISTEMA MES DE  ENERO 2026</t>
  </si>
  <si>
    <t>BONIFICACIÓN  ENERO  2026</t>
  </si>
  <si>
    <t>SUELDO BRUTO</t>
  </si>
  <si>
    <t>Nº</t>
  </si>
  <si>
    <t>NOMBRES</t>
  </si>
  <si>
    <t>SPP o SNP</t>
  </si>
  <si>
    <t>REMUNERACIÓN BÁSICA</t>
  </si>
  <si>
    <t>BONIF.</t>
  </si>
  <si>
    <t>ASIGNACION FAMILIAR</t>
  </si>
  <si>
    <t>COMPEN.</t>
  </si>
  <si>
    <t>CTS</t>
  </si>
  <si>
    <t>GRATIFICACIONES</t>
  </si>
  <si>
    <t>ESSALUD GRATIFICACIONES</t>
  </si>
  <si>
    <t>ESSALUD</t>
  </si>
  <si>
    <t>JORNAL DIARIO</t>
  </si>
  <si>
    <t>COSTO HORA</t>
  </si>
  <si>
    <t>DIFERENCIA O BONIFICACION</t>
  </si>
  <si>
    <t>SUELDO NETO TOTAL</t>
  </si>
  <si>
    <t>SUELDO BRUTO NEGRO</t>
  </si>
  <si>
    <t>SUELDO POR DIA</t>
  </si>
  <si>
    <t>SUELDO POR HORA</t>
  </si>
  <si>
    <t>Diferencia por h.</t>
  </si>
  <si>
    <t>Diferencia real</t>
  </si>
  <si>
    <t>Diferencia real de personas en vacaciones</t>
  </si>
  <si>
    <t>BETA 30 %</t>
  </si>
  <si>
    <t>VIDA LEY</t>
  </si>
  <si>
    <t>Apaza Tito Patricia</t>
  </si>
  <si>
    <t>PRO F</t>
  </si>
  <si>
    <t>Aquino Gómez Basilia Isabel</t>
  </si>
  <si>
    <t>Calla G Guillermina</t>
  </si>
  <si>
    <t>Challco Laime, Gilberta</t>
  </si>
  <si>
    <t>HAB M</t>
  </si>
  <si>
    <t>Choquehuayta Huallpa, Estefania</t>
  </si>
  <si>
    <t>PRO M</t>
  </si>
  <si>
    <t>Idme Huaraccallo, Gladis</t>
  </si>
  <si>
    <t>SNP</t>
  </si>
  <si>
    <t>Jacha Gomez, Flavia</t>
  </si>
  <si>
    <t>INT F</t>
  </si>
  <si>
    <t>Lerma Yanarico Elena</t>
  </si>
  <si>
    <t>Machaca Calcina, Benedicta</t>
  </si>
  <si>
    <t>INT M</t>
  </si>
  <si>
    <t>Mamani Hancco,  Elsa Teresa</t>
  </si>
  <si>
    <t>Mamani Itusaca de Perca Guzmila</t>
  </si>
  <si>
    <t>Mayta Coaquira Janet Venancia</t>
  </si>
  <si>
    <t>Parari Laura Teresa Lucy</t>
  </si>
  <si>
    <t>Pelinco Machaca, Monica</t>
  </si>
  <si>
    <t>PRI M</t>
  </si>
  <si>
    <t>Quispe Pacco Obita</t>
  </si>
  <si>
    <t>Aragon Hancco  Delia Jesusa</t>
  </si>
  <si>
    <t>Gonzales Aparicio Lisbeth</t>
  </si>
  <si>
    <t>Sánchez  Huanca María Luisa</t>
  </si>
  <si>
    <t>Alvarez Chavez, Richard</t>
  </si>
  <si>
    <t>Aparicio Ch Claver</t>
  </si>
  <si>
    <t>Aquino Gomez Carmelo</t>
  </si>
  <si>
    <t>Ayamamani Chura Elver Emilio</t>
  </si>
  <si>
    <t xml:space="preserve">Cañari Pucho, Guillermo </t>
  </si>
  <si>
    <t>Ccanchi Neira, Juan Lorenzo</t>
  </si>
  <si>
    <t>Gamarra Chambi, Ernesto</t>
  </si>
  <si>
    <t>Huaynacho Otazu, Donar</t>
  </si>
  <si>
    <t>Huaynapata Itusaca Yoni Angel</t>
  </si>
  <si>
    <t>Idme Huaraccallo, Agustin</t>
  </si>
  <si>
    <t>Lope Choquehuanca, Cirilo</t>
  </si>
  <si>
    <t>PROF</t>
  </si>
  <si>
    <t>Lope Choquehuanca, Luis</t>
  </si>
  <si>
    <t>Lopez Mamani, Nestor</t>
  </si>
  <si>
    <t>Mamani Anconaira, Santo Domingo</t>
  </si>
  <si>
    <t>Mamani Idme, Vicente</t>
  </si>
  <si>
    <t>Mamani Mamani, Alejandro</t>
  </si>
  <si>
    <t>Palaco Retamozo Alberto Gilberto</t>
  </si>
  <si>
    <t>Perca Mamani Julio Alberto</t>
  </si>
  <si>
    <t>Quispe Belizario Alvaro</t>
  </si>
  <si>
    <t>Quispe Quispe Luis</t>
  </si>
  <si>
    <t>Reynoso Gamero Rufino</t>
  </si>
  <si>
    <t xml:space="preserve">Rivera Ramos Elmer Delis </t>
  </si>
  <si>
    <t>Soncco Soncco, Santos Evaristo</t>
  </si>
  <si>
    <t>Ttito Tapara, Jose Pascual</t>
  </si>
  <si>
    <t>Turpo Quispe Yury</t>
  </si>
  <si>
    <t>Zea Mamani, Ignacio</t>
  </si>
  <si>
    <t>Chile Yareta Justino</t>
  </si>
  <si>
    <t>Diaz Chipana Walter</t>
  </si>
  <si>
    <t>Quispe Gutierrez Leonardo</t>
  </si>
  <si>
    <t>Santiago Espinoza  Yovani</t>
  </si>
  <si>
    <t>Descuentos de AFP</t>
  </si>
  <si>
    <t>AFP</t>
  </si>
  <si>
    <t>Flujo</t>
  </si>
  <si>
    <t>Mixta</t>
  </si>
  <si>
    <t>prima F</t>
  </si>
  <si>
    <t>habitab F</t>
  </si>
  <si>
    <t>MAYOR DE 65 AÑOS EXONERADOS DE PRIMA</t>
  </si>
  <si>
    <t>MES DE ENERO 2026</t>
  </si>
  <si>
    <t>SUELDO NETO</t>
  </si>
  <si>
    <t>ESSALUD EPS</t>
  </si>
  <si>
    <t>PENSION SCTR</t>
  </si>
  <si>
    <t>DSCTO. A.F.P.(Prima de Seguro</t>
  </si>
  <si>
    <t>Dias laborables</t>
  </si>
  <si>
    <t>Dias</t>
  </si>
  <si>
    <t>BENEFICIOS SOCIALES PROYECTADOS</t>
  </si>
  <si>
    <t>SUELDO NETO + BENF. SOCI. PROYEC.</t>
  </si>
  <si>
    <t>SUELDO BRUTO + BENF. SOCI. PROYEC. + APORT. EMPLE.</t>
  </si>
  <si>
    <t>APORTES DEL EMPLEADOR</t>
  </si>
  <si>
    <t>DIAS LABORADOS</t>
  </si>
  <si>
    <t>F</t>
  </si>
  <si>
    <t>PLANILLA ESPECIAL TIERRA SANTA HOLDING SAC  - ENERO 2026</t>
  </si>
  <si>
    <t>recuento personas trabajando</t>
  </si>
  <si>
    <t>Nº ORDEN</t>
  </si>
  <si>
    <t>J</t>
  </si>
  <si>
    <t>V</t>
  </si>
  <si>
    <t>S</t>
  </si>
  <si>
    <t>D</t>
  </si>
  <si>
    <t>L</t>
  </si>
  <si>
    <t>M</t>
  </si>
  <si>
    <t>HORAS</t>
  </si>
  <si>
    <t>Faltas</t>
  </si>
  <si>
    <t>Captz. 2</t>
  </si>
  <si>
    <t>Campo</t>
  </si>
  <si>
    <t>Ast. Adm campo</t>
  </si>
  <si>
    <t>Cocinera</t>
  </si>
  <si>
    <t>Riego</t>
  </si>
  <si>
    <t>Fitro</t>
  </si>
  <si>
    <t>Ast. Prod.</t>
  </si>
  <si>
    <t>Funigación</t>
  </si>
  <si>
    <t>Evaluador</t>
  </si>
  <si>
    <t>Varios</t>
  </si>
  <si>
    <t>Tractorista</t>
  </si>
  <si>
    <t>Vigilancia</t>
  </si>
  <si>
    <t>Captz. Grl</t>
  </si>
  <si>
    <t>Albañil</t>
  </si>
  <si>
    <t>Monto S/.</t>
  </si>
  <si>
    <t>ok</t>
  </si>
  <si>
    <t>OK</t>
  </si>
  <si>
    <t>diferencia</t>
  </si>
  <si>
    <t>DIAS NO LABORADOS</t>
  </si>
  <si>
    <t>TOTAL HORAS</t>
  </si>
  <si>
    <t>0118 - REM. VAC.</t>
  </si>
  <si>
    <t>0121 - REM. JORN. BAS.</t>
  </si>
  <si>
    <t>0312 - BONIF. EXT. TEMP.</t>
  </si>
  <si>
    <t>0406 - GRATIF. FIEST. P. NAV.</t>
  </si>
  <si>
    <t>0314 - BETA 30 %</t>
  </si>
  <si>
    <t>0904 - CTS</t>
  </si>
  <si>
    <t>0201 - ASIG. FAMILIAR</t>
  </si>
  <si>
    <t>INGRESOS</t>
  </si>
  <si>
    <t>DESCUENTOS</t>
  </si>
  <si>
    <t>0601 - COMI. AFP %</t>
  </si>
  <si>
    <t>0605 - RENTA 5TA CAT. RET.</t>
  </si>
  <si>
    <t>0606 - PRIMA DE SEG. AFP</t>
  </si>
  <si>
    <t>0608 - SPP APORT. OBL.</t>
  </si>
  <si>
    <t>0607 - SNP</t>
  </si>
  <si>
    <t>COMISIÓN</t>
  </si>
  <si>
    <t>SOBRE FLUJO</t>
  </si>
  <si>
    <t>(% Remuneración Bruta Mensual)</t>
  </si>
  <si>
    <t>ANUAL SOBRE</t>
  </si>
  <si>
    <t>SALDO</t>
  </si>
  <si>
    <t>PRIMA DE</t>
  </si>
  <si>
    <t>APORTE OBLIGATORIO AL FONDO DE PENSIONES</t>
  </si>
  <si>
    <t>REMUNERACIÓN MÁXIMA ASEGURABLE</t>
  </si>
  <si>
    <t>HABITAT</t>
  </si>
  <si>
    <t>INTEGRA</t>
  </si>
  <si>
    <t>PRIMA</t>
  </si>
  <si>
    <t>PROFUTURO</t>
  </si>
  <si>
    <r>
      <t>SEGUROS (%) </t>
    </r>
    <r>
      <rPr>
        <b/>
        <vertAlign val="superscript"/>
        <sz val="12"/>
        <color rgb="FFFFFFFF"/>
        <rFont val="OpenSans-Bold"/>
      </rPr>
      <t>3/</t>
    </r>
  </si>
  <si>
    <t>0117 - COMP. VACACIONAL</t>
  </si>
  <si>
    <t>PENSIONISTA</t>
  </si>
  <si>
    <t>SI</t>
  </si>
  <si>
    <t>EDAD</t>
  </si>
  <si>
    <t>INFORMACION</t>
  </si>
  <si>
    <t>HAB F</t>
  </si>
  <si>
    <t>PRI F</t>
  </si>
  <si>
    <t>% DESC</t>
  </si>
  <si>
    <t>SEGURO</t>
  </si>
  <si>
    <t>% PRIMA</t>
  </si>
  <si>
    <t>% PRIMA &gt; 65</t>
  </si>
  <si>
    <t>NETO A PAGAR</t>
  </si>
  <si>
    <t>0803 - POLIZA</t>
  </si>
  <si>
    <t>0804 - ESSALUD</t>
  </si>
  <si>
    <t>0805 - SCTR</t>
  </si>
  <si>
    <t>0810 - EPS</t>
  </si>
  <si>
    <t>REMUNERACION BRUTA</t>
  </si>
  <si>
    <t>01 - S.P. Sanción disciplinaria</t>
  </si>
  <si>
    <t>02 - S.P. Ejercicio del derecho de huelga</t>
  </si>
  <si>
    <t>SUSPENSION PERFECTA</t>
  </si>
  <si>
    <t>08 - Por temporada o intermitente</t>
  </si>
  <si>
    <t>08 - Falta no justificada</t>
  </si>
  <si>
    <t>06 - Caso fortuito o fuerza mayor</t>
  </si>
  <si>
    <t>05 - Permiso o licencia concedidos por el emplea</t>
  </si>
  <si>
    <t>04 - Inhabilitación administrativa o judicial por</t>
  </si>
  <si>
    <t>03 - Detención del trabajador, salvo el caso de c</t>
  </si>
  <si>
    <t>SUSPENSIÓN IMPERFECTA</t>
  </si>
  <si>
    <t>20 - Enfermedad o accidente (primeros veinte días)</t>
  </si>
  <si>
    <t>21 - Incapacidad temporal (invalidez, enfermeda</t>
  </si>
  <si>
    <t>22 - Maternidad durante el descanso pre y post na</t>
  </si>
  <si>
    <t>23 - Descanso vacacional</t>
  </si>
  <si>
    <t>24 - Licencia para desempeñar cargo cívico y p</t>
  </si>
  <si>
    <t>25 - Permiso y licencia para el desempeño de carg</t>
  </si>
  <si>
    <t>26 - Licencia con goce de haber</t>
  </si>
  <si>
    <t>27 - Días compensados por horas trabajadas en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</si>
</sst>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#,##0.0000000"/>
    <numFmt numFmtId="165" formatCode="0.00000"/>
    <numFmt numFmtId="166" formatCode="0.0000000"/>
    <numFmt numFmtId="167" formatCode="#,##0.0000;\-#,##0.0000"/>
    <numFmt numFmtId="168" formatCode="0.0"/>
    <numFmt numFmtId="169" formatCode="&quot;S/.&quot;#,##0.00"/>
    <numFmt numFmtId="170" formatCode="#,##0.000000"/>
    <numFmt numFmtId="171" formatCode="_(* #,##0.00_);_(* \(#,##0.00\);_(* &quot;-&quot;??_);_(@_)"/>
    <numFmt numFmtId="172" formatCode="_ &quot;S/.&quot;\ * #,##0.00_ ;_ &quot;S/.&quot;\ * \-#,##0.00_ ;_ &quot;S/.&quot;\ * &quot;-&quot;??_ ;_ @_ "/>
  </numFmts>
  <fonts count="50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A14E6"/>
      <name val="Calibri"/>
      <family val="2"/>
      <scheme val="minor"/>
    </font>
    <font>
      <sz val="10"/>
      <color rgb="FF3333FF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A14E6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33CC33"/>
      <name val="Calibri"/>
      <family val="2"/>
      <scheme val="minor"/>
    </font>
    <font>
      <b/>
      <sz val="10"/>
      <color rgb="FFCC3399"/>
      <name val="Calibri"/>
      <family val="2"/>
      <scheme val="minor"/>
    </font>
    <font>
      <b/>
      <sz val="10"/>
      <color rgb="FF99009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33CC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sz val="10"/>
      <color rgb="FF00CC66"/>
      <name val="Calibri"/>
      <family val="2"/>
      <scheme val="minor"/>
    </font>
    <font>
      <sz val="10"/>
      <color rgb="FF00B0F0"/>
      <name val="Calibri"/>
      <family val="2"/>
      <scheme val="minor"/>
    </font>
    <font>
      <b/>
      <i/>
      <sz val="10"/>
      <color rgb="FF0A14E6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theme="9"/>
      <name val="Calibri"/>
      <family val="2"/>
      <scheme val="minor"/>
    </font>
    <font>
      <b/>
      <i/>
      <sz val="10"/>
      <color rgb="FF9900CC"/>
      <name val="Calibri"/>
      <family val="2"/>
      <scheme val="minor"/>
    </font>
    <font>
      <b/>
      <i/>
      <sz val="10"/>
      <color rgb="FF00B0F0"/>
      <name val="Calibri"/>
      <family val="2"/>
      <scheme val="minor"/>
    </font>
    <font>
      <i/>
      <sz val="10"/>
      <color rgb="FF00B0F0"/>
      <name val="Calibri"/>
      <family val="2"/>
      <scheme val="minor"/>
    </font>
    <font>
      <b/>
      <i/>
      <sz val="10"/>
      <color rgb="FFDD13CF"/>
      <name val="Calibri"/>
      <family val="2"/>
      <scheme val="minor"/>
    </font>
    <font>
      <b/>
      <i/>
      <sz val="10"/>
      <color rgb="FFCC0099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CC0099"/>
      <name val="Calibri"/>
      <family val="2"/>
      <scheme val="minor"/>
    </font>
    <font>
      <sz val="14"/>
      <color rgb="FF585B63"/>
      <name val="OpenSans-Regular"/>
    </font>
    <font>
      <b/>
      <sz val="12"/>
      <color rgb="FFFFFFFF"/>
      <name val="OpenSans-Bold"/>
    </font>
    <font>
      <b/>
      <vertAlign val="superscript"/>
      <sz val="12"/>
      <color rgb="FFFFFFFF"/>
      <name val="OpenSans-Bold"/>
    </font>
    <font>
      <b/>
      <sz val="12"/>
      <color rgb="FFFFFFFF"/>
      <name val="OpenSans-SemiBold"/>
    </font>
    <font>
      <sz val="12"/>
      <color theme="1"/>
      <name val="Calibri"/>
      <family val="2"/>
      <scheme val="minor"/>
    </font>
    <font>
      <sz val="10"/>
      <color rgb="FF990099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86868"/>
        <bgColor indexed="64"/>
      </patternFill>
    </fill>
    <fill>
      <patternFill patternType="solid">
        <fgColor rgb="FF00369D"/>
        <bgColor indexed="64"/>
      </patternFill>
    </fill>
    <fill>
      <patternFill patternType="solid">
        <fgColor rgb="FF1FC3B3"/>
        <bgColor indexed="64"/>
      </patternFill>
    </fill>
    <fill>
      <patternFill patternType="solid">
        <fgColor rgb="FFBEBAB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FDFDF"/>
      </left>
      <right style="medium">
        <color rgb="FFFFFFFF"/>
      </right>
      <top style="medium">
        <color rgb="FFDFDFDF"/>
      </top>
      <bottom/>
      <diagonal/>
    </border>
    <border>
      <left style="medium">
        <color rgb="FFDFDFDF"/>
      </left>
      <right style="medium">
        <color rgb="FFFFFFFF"/>
      </right>
      <top/>
      <bottom/>
      <diagonal/>
    </border>
    <border>
      <left style="medium">
        <color rgb="FFDFDFDF"/>
      </left>
      <right style="medium">
        <color rgb="FFFFFFFF"/>
      </right>
      <top/>
      <bottom style="medium">
        <color rgb="FFDFDFDF"/>
      </bottom>
      <diagonal/>
    </border>
    <border>
      <left style="medium">
        <color rgb="FFDFDFD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 style="medium">
        <color rgb="FFDFDFD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/>
      <diagonal/>
    </border>
    <border>
      <left style="medium">
        <color rgb="FFDFDFDF"/>
      </left>
      <right style="medium">
        <color rgb="FFDFDFDF"/>
      </right>
      <top/>
      <bottom/>
      <diagonal/>
    </border>
    <border>
      <left style="medium">
        <color rgb="FFDFDFDF"/>
      </left>
      <right style="medium">
        <color rgb="FFDFDFDF"/>
      </right>
      <top/>
      <bottom style="medium">
        <color rgb="FFDFDFDF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7">
    <xf numFmtId="0" fontId="0" fillId="0" borderId="0" xfId="0"/>
    <xf numFmtId="2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166" fontId="4" fillId="0" borderId="0" xfId="0" applyNumberFormat="1" applyFont="1"/>
    <xf numFmtId="3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0" fillId="0" borderId="0" xfId="0" applyNumberFormat="1"/>
    <xf numFmtId="0" fontId="11" fillId="0" borderId="0" xfId="1" applyFont="1" applyAlignment="1">
      <alignment horizontal="center"/>
    </xf>
    <xf numFmtId="0" fontId="12" fillId="0" borderId="0" xfId="1" applyFont="1"/>
    <xf numFmtId="4" fontId="6" fillId="0" borderId="0" xfId="1" applyNumberFormat="1" applyFont="1"/>
    <xf numFmtId="2" fontId="13" fillId="0" borderId="6" xfId="0" applyNumberFormat="1" applyFont="1" applyBorder="1" applyAlignment="1">
      <alignment horizontal="center"/>
    </xf>
    <xf numFmtId="2" fontId="13" fillId="0" borderId="6" xfId="0" applyNumberFormat="1" applyFont="1" applyBorder="1"/>
    <xf numFmtId="0" fontId="11" fillId="0" borderId="0" xfId="0" applyFont="1"/>
    <xf numFmtId="0" fontId="4" fillId="2" borderId="0" xfId="0" applyFont="1" applyFill="1"/>
    <xf numFmtId="0" fontId="4" fillId="4" borderId="0" xfId="0" applyFont="1" applyFill="1" applyAlignment="1">
      <alignment horizontal="center" vertical="center"/>
    </xf>
    <xf numFmtId="1" fontId="4" fillId="0" borderId="0" xfId="0" applyNumberFormat="1" applyFont="1"/>
    <xf numFmtId="0" fontId="13" fillId="0" borderId="6" xfId="0" applyFont="1" applyBorder="1" applyAlignment="1">
      <alignment horizontal="center"/>
    </xf>
    <xf numFmtId="0" fontId="13" fillId="0" borderId="6" xfId="0" applyFont="1" applyBorder="1"/>
    <xf numFmtId="0" fontId="7" fillId="0" borderId="0" xfId="1" applyFont="1"/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164" fontId="11" fillId="0" borderId="0" xfId="0" applyNumberFormat="1" applyFont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2" fontId="6" fillId="7" borderId="6" xfId="1" applyNumberFormat="1" applyFont="1" applyFill="1" applyBorder="1" applyAlignment="1">
      <alignment horizontal="center" vertical="center" wrapText="1"/>
    </xf>
    <xf numFmtId="2" fontId="6" fillId="17" borderId="6" xfId="1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/>
    <xf numFmtId="2" fontId="6" fillId="3" borderId="6" xfId="1" applyNumberFormat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wrapText="1"/>
    </xf>
    <xf numFmtId="0" fontId="6" fillId="7" borderId="6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11" fillId="7" borderId="6" xfId="1" applyFont="1" applyFill="1" applyBorder="1" applyAlignment="1">
      <alignment horizontal="left" vertical="center"/>
    </xf>
    <xf numFmtId="4" fontId="14" fillId="0" borderId="6" xfId="1" applyNumberFormat="1" applyFont="1" applyBorder="1" applyAlignment="1">
      <alignment horizontal="center"/>
    </xf>
    <xf numFmtId="2" fontId="11" fillId="0" borderId="6" xfId="1" applyNumberFormat="1" applyFont="1" applyBorder="1" applyAlignment="1">
      <alignment horizontal="center"/>
    </xf>
    <xf numFmtId="2" fontId="11" fillId="0" borderId="6" xfId="1" applyNumberFormat="1" applyFont="1" applyBorder="1" applyAlignment="1">
      <alignment horizontal="right" vertical="center"/>
    </xf>
    <xf numFmtId="2" fontId="15" fillId="8" borderId="6" xfId="1" applyNumberFormat="1" applyFont="1" applyFill="1" applyBorder="1" applyAlignment="1">
      <alignment horizontal="right" vertical="center"/>
    </xf>
    <xf numFmtId="2" fontId="11" fillId="0" borderId="6" xfId="1" applyNumberFormat="1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4" fontId="7" fillId="0" borderId="6" xfId="1" applyNumberFormat="1" applyFont="1" applyBorder="1"/>
    <xf numFmtId="2" fontId="4" fillId="0" borderId="6" xfId="0" applyNumberFormat="1" applyFont="1" applyBorder="1"/>
    <xf numFmtId="39" fontId="16" fillId="0" borderId="6" xfId="0" applyNumberFormat="1" applyFont="1" applyBorder="1"/>
    <xf numFmtId="2" fontId="11" fillId="0" borderId="6" xfId="0" applyNumberFormat="1" applyFont="1" applyBorder="1"/>
    <xf numFmtId="2" fontId="11" fillId="0" borderId="0" xfId="0" applyNumberFormat="1" applyFont="1"/>
    <xf numFmtId="2" fontId="11" fillId="2" borderId="0" xfId="0" applyNumberFormat="1" applyFont="1" applyFill="1"/>
    <xf numFmtId="0" fontId="11" fillId="0" borderId="6" xfId="1" applyFont="1" applyBorder="1" applyAlignment="1">
      <alignment horizontal="left" vertical="center"/>
    </xf>
    <xf numFmtId="4" fontId="11" fillId="0" borderId="6" xfId="0" applyNumberFormat="1" applyFont="1" applyBorder="1" applyAlignment="1">
      <alignment horizontal="center"/>
    </xf>
    <xf numFmtId="2" fontId="17" fillId="0" borderId="6" xfId="0" applyNumberFormat="1" applyFont="1" applyBorder="1" applyAlignment="1">
      <alignment horizontal="center" vertical="center"/>
    </xf>
    <xf numFmtId="4" fontId="4" fillId="9" borderId="6" xfId="0" applyNumberFormat="1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18" fillId="6" borderId="6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6" fillId="0" borderId="6" xfId="1" applyFont="1" applyBorder="1" applyAlignment="1">
      <alignment horizontal="center"/>
    </xf>
    <xf numFmtId="0" fontId="11" fillId="7" borderId="6" xfId="1" applyFont="1" applyFill="1" applyBorder="1"/>
    <xf numFmtId="4" fontId="11" fillId="0" borderId="6" xfId="1" applyNumberFormat="1" applyFont="1" applyBorder="1"/>
    <xf numFmtId="4" fontId="7" fillId="0" borderId="6" xfId="1" applyNumberFormat="1" applyFont="1" applyBorder="1" applyAlignment="1">
      <alignment horizontal="center"/>
    </xf>
    <xf numFmtId="2" fontId="7" fillId="8" borderId="6" xfId="1" applyNumberFormat="1" applyFont="1" applyFill="1" applyBorder="1" applyAlignment="1">
      <alignment horizontal="right" vertical="center"/>
    </xf>
    <xf numFmtId="4" fontId="19" fillId="0" borderId="6" xfId="1" applyNumberFormat="1" applyFont="1" applyBorder="1" applyAlignment="1">
      <alignment horizontal="center"/>
    </xf>
    <xf numFmtId="2" fontId="19" fillId="8" borderId="6" xfId="1" applyNumberFormat="1" applyFont="1" applyFill="1" applyBorder="1" applyAlignment="1">
      <alignment horizontal="right" vertical="center"/>
    </xf>
    <xf numFmtId="0" fontId="11" fillId="7" borderId="6" xfId="0" applyFont="1" applyFill="1" applyBorder="1"/>
    <xf numFmtId="4" fontId="6" fillId="10" borderId="6" xfId="1" applyNumberFormat="1" applyFont="1" applyFill="1" applyBorder="1" applyAlignment="1">
      <alignment horizontal="center"/>
    </xf>
    <xf numFmtId="2" fontId="6" fillId="8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Border="1" applyAlignment="1">
      <alignment horizontal="center"/>
    </xf>
    <xf numFmtId="2" fontId="17" fillId="8" borderId="6" xfId="1" applyNumberFormat="1" applyFont="1" applyFill="1" applyBorder="1" applyAlignment="1">
      <alignment horizontal="right" vertical="center"/>
    </xf>
    <xf numFmtId="4" fontId="8" fillId="0" borderId="6" xfId="1" applyNumberFormat="1" applyFont="1" applyBorder="1" applyAlignment="1">
      <alignment horizontal="center"/>
    </xf>
    <xf numFmtId="2" fontId="8" fillId="8" borderId="6" xfId="1" applyNumberFormat="1" applyFont="1" applyFill="1" applyBorder="1" applyAlignment="1">
      <alignment horizontal="right" vertical="center"/>
    </xf>
    <xf numFmtId="4" fontId="21" fillId="0" borderId="6" xfId="1" applyNumberFormat="1" applyFont="1" applyBorder="1" applyAlignment="1">
      <alignment horizontal="center"/>
    </xf>
    <xf numFmtId="2" fontId="22" fillId="8" borderId="6" xfId="1" applyNumberFormat="1" applyFont="1" applyFill="1" applyBorder="1" applyAlignment="1">
      <alignment horizontal="right" vertical="center"/>
    </xf>
    <xf numFmtId="0" fontId="11" fillId="11" borderId="6" xfId="1" applyFont="1" applyFill="1" applyBorder="1"/>
    <xf numFmtId="0" fontId="11" fillId="11" borderId="6" xfId="1" applyFont="1" applyFill="1" applyBorder="1" applyAlignment="1">
      <alignment horizontal="left" vertical="center"/>
    </xf>
    <xf numFmtId="0" fontId="11" fillId="0" borderId="6" xfId="1" applyFont="1" applyBorder="1"/>
    <xf numFmtId="0" fontId="11" fillId="12" borderId="6" xfId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6" fillId="0" borderId="6" xfId="1" applyFont="1" applyBorder="1"/>
    <xf numFmtId="4" fontId="15" fillId="3" borderId="6" xfId="1" applyNumberFormat="1" applyFont="1" applyFill="1" applyBorder="1" applyAlignment="1">
      <alignment horizontal="center"/>
    </xf>
    <xf numFmtId="4" fontId="6" fillId="3" borderId="6" xfId="1" applyNumberFormat="1" applyFont="1" applyFill="1" applyBorder="1" applyAlignment="1">
      <alignment horizontal="center"/>
    </xf>
    <xf numFmtId="0" fontId="11" fillId="3" borderId="6" xfId="1" applyFont="1" applyFill="1" applyBorder="1" applyAlignment="1">
      <alignment horizontal="left" vertical="center"/>
    </xf>
    <xf numFmtId="0" fontId="11" fillId="5" borderId="6" xfId="1" applyFont="1" applyFill="1" applyBorder="1" applyAlignment="1">
      <alignment horizontal="left" vertical="center"/>
    </xf>
    <xf numFmtId="4" fontId="23" fillId="0" borderId="6" xfId="1" applyNumberFormat="1" applyFont="1" applyBorder="1"/>
    <xf numFmtId="0" fontId="11" fillId="0" borderId="6" xfId="0" applyFont="1" applyBorder="1" applyAlignment="1">
      <alignment vertical="center"/>
    </xf>
    <xf numFmtId="0" fontId="11" fillId="13" borderId="6" xfId="1" applyFont="1" applyFill="1" applyBorder="1"/>
    <xf numFmtId="0" fontId="11" fillId="13" borderId="6" xfId="1" applyFont="1" applyFill="1" applyBorder="1" applyAlignment="1">
      <alignment horizontal="left" vertical="center"/>
    </xf>
    <xf numFmtId="4" fontId="11" fillId="3" borderId="6" xfId="1" applyNumberFormat="1" applyFont="1" applyFill="1" applyBorder="1"/>
    <xf numFmtId="0" fontId="6" fillId="0" borderId="0" xfId="1" applyFont="1" applyAlignment="1">
      <alignment horizontal="center" vertical="center"/>
    </xf>
    <xf numFmtId="0" fontId="11" fillId="0" borderId="0" xfId="1" applyFont="1"/>
    <xf numFmtId="4" fontId="14" fillId="0" borderId="0" xfId="1" applyNumberFormat="1" applyFont="1" applyAlignment="1">
      <alignment horizontal="center"/>
    </xf>
    <xf numFmtId="2" fontId="11" fillId="0" borderId="0" xfId="1" applyNumberFormat="1" applyFont="1" applyAlignment="1">
      <alignment horizontal="center"/>
    </xf>
    <xf numFmtId="4" fontId="23" fillId="0" borderId="0" xfId="1" applyNumberFormat="1" applyFont="1"/>
    <xf numFmtId="4" fontId="11" fillId="0" borderId="0" xfId="1" applyNumberFormat="1" applyFont="1"/>
    <xf numFmtId="2" fontId="11" fillId="0" borderId="0" xfId="1" applyNumberFormat="1" applyFont="1" applyAlignment="1">
      <alignment horizontal="center" vertical="center"/>
    </xf>
    <xf numFmtId="4" fontId="7" fillId="0" borderId="0" xfId="1" applyNumberFormat="1" applyFont="1"/>
    <xf numFmtId="39" fontId="4" fillId="0" borderId="0" xfId="0" applyNumberFormat="1" applyFont="1"/>
    <xf numFmtId="39" fontId="16" fillId="0" borderId="0" xfId="0" applyNumberFormat="1" applyFont="1"/>
    <xf numFmtId="0" fontId="11" fillId="0" borderId="0" xfId="1" applyFont="1" applyAlignment="1">
      <alignment horizontal="left" vertical="center"/>
    </xf>
    <xf numFmtId="4" fontId="11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4" fontId="12" fillId="0" borderId="0" xfId="1" applyNumberFormat="1" applyFont="1"/>
    <xf numFmtId="39" fontId="11" fillId="0" borderId="0" xfId="0" applyNumberFormat="1" applyFont="1"/>
    <xf numFmtId="4" fontId="6" fillId="2" borderId="0" xfId="1" applyNumberFormat="1" applyFont="1" applyFill="1"/>
    <xf numFmtId="4" fontId="6" fillId="0" borderId="0" xfId="1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39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39" fontId="7" fillId="15" borderId="0" xfId="0" applyNumberFormat="1" applyFont="1" applyFill="1" applyAlignment="1">
      <alignment horizontal="left"/>
    </xf>
    <xf numFmtId="4" fontId="24" fillId="15" borderId="0" xfId="0" applyNumberFormat="1" applyFont="1" applyFill="1"/>
    <xf numFmtId="2" fontId="11" fillId="15" borderId="0" xfId="0" applyNumberFormat="1" applyFont="1" applyFill="1"/>
    <xf numFmtId="39" fontId="5" fillId="3" borderId="0" xfId="0" applyNumberFormat="1" applyFont="1" applyFill="1"/>
    <xf numFmtId="39" fontId="11" fillId="15" borderId="0" xfId="0" applyNumberFormat="1" applyFont="1" applyFill="1"/>
    <xf numFmtId="0" fontId="5" fillId="0" borderId="0" xfId="0" applyFont="1" applyAlignment="1">
      <alignment vertical="center"/>
    </xf>
    <xf numFmtId="4" fontId="4" fillId="15" borderId="0" xfId="0" applyNumberFormat="1" applyFont="1" applyFill="1"/>
    <xf numFmtId="39" fontId="25" fillId="15" borderId="0" xfId="0" applyNumberFormat="1" applyFont="1" applyFill="1"/>
    <xf numFmtId="167" fontId="11" fillId="15" borderId="0" xfId="0" applyNumberFormat="1" applyFont="1" applyFill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10" fontId="27" fillId="0" borderId="13" xfId="4" applyNumberFormat="1" applyFont="1" applyBorder="1"/>
    <xf numFmtId="10" fontId="4" fillId="0" borderId="13" xfId="4" applyNumberFormat="1" applyFont="1" applyFill="1" applyBorder="1" applyAlignment="1">
      <alignment horizontal="center" vertical="center"/>
    </xf>
    <xf numFmtId="10" fontId="7" fillId="0" borderId="0" xfId="4" applyNumberFormat="1" applyFont="1" applyBorder="1" applyAlignment="1">
      <alignment vertical="center"/>
    </xf>
    <xf numFmtId="10" fontId="23" fillId="0" borderId="0" xfId="4" applyNumberFormat="1" applyFont="1"/>
    <xf numFmtId="0" fontId="13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10" fontId="5" fillId="0" borderId="14" xfId="4" applyNumberFormat="1" applyFont="1" applyFill="1" applyBorder="1"/>
    <xf numFmtId="10" fontId="4" fillId="0" borderId="14" xfId="4" applyNumberFormat="1" applyFont="1" applyFill="1" applyBorder="1" applyAlignment="1">
      <alignment horizontal="center" vertical="center"/>
    </xf>
    <xf numFmtId="10" fontId="8" fillId="0" borderId="0" xfId="4" applyNumberFormat="1" applyFont="1" applyBorder="1" applyAlignment="1">
      <alignment vertical="center"/>
    </xf>
    <xf numFmtId="10" fontId="28" fillId="0" borderId="0" xfId="4" applyNumberFormat="1" applyFont="1"/>
    <xf numFmtId="4" fontId="28" fillId="0" borderId="0" xfId="0" applyNumberFormat="1" applyFont="1"/>
    <xf numFmtId="0" fontId="29" fillId="0" borderId="0" xfId="0" applyFont="1" applyAlignment="1">
      <alignment horizontal="center"/>
    </xf>
    <xf numFmtId="0" fontId="29" fillId="4" borderId="0" xfId="0" applyFont="1" applyFill="1" applyAlignment="1">
      <alignment horizontal="center"/>
    </xf>
    <xf numFmtId="10" fontId="14" fillId="0" borderId="14" xfId="0" applyNumberFormat="1" applyFont="1" applyBorder="1"/>
    <xf numFmtId="10" fontId="5" fillId="0" borderId="0" xfId="4" applyNumberFormat="1" applyFont="1" applyBorder="1" applyAlignment="1">
      <alignment vertical="center"/>
    </xf>
    <xf numFmtId="10" fontId="4" fillId="0" borderId="0" xfId="4" applyNumberFormat="1" applyFont="1"/>
    <xf numFmtId="10" fontId="5" fillId="0" borderId="14" xfId="4" applyNumberFormat="1" applyFont="1" applyBorder="1"/>
    <xf numFmtId="0" fontId="30" fillId="0" borderId="0" xfId="0" applyFont="1" applyAlignment="1">
      <alignment horizontal="center"/>
    </xf>
    <xf numFmtId="10" fontId="31" fillId="0" borderId="14" xfId="4" applyNumberFormat="1" applyFont="1" applyFill="1" applyBorder="1" applyAlignment="1">
      <alignment horizontal="center" vertical="center"/>
    </xf>
    <xf numFmtId="10" fontId="30" fillId="0" borderId="14" xfId="4" applyNumberFormat="1" applyFont="1" applyFill="1" applyBorder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0" fontId="4" fillId="0" borderId="0" xfId="0" applyNumberFormat="1" applyFont="1"/>
    <xf numFmtId="10" fontId="13" fillId="0" borderId="14" xfId="4" applyNumberFormat="1" applyFont="1" applyFill="1" applyBorder="1" applyAlignment="1">
      <alignment horizontal="center" vertical="center"/>
    </xf>
    <xf numFmtId="10" fontId="4" fillId="3" borderId="15" xfId="4" applyNumberFormat="1" applyFont="1" applyFill="1" applyBorder="1"/>
    <xf numFmtId="0" fontId="32" fillId="0" borderId="0" xfId="0" applyFont="1" applyAlignment="1">
      <alignment horizontal="center"/>
    </xf>
    <xf numFmtId="0" fontId="32" fillId="4" borderId="0" xfId="0" applyFont="1" applyFill="1" applyAlignment="1">
      <alignment horizontal="center"/>
    </xf>
    <xf numFmtId="10" fontId="32" fillId="0" borderId="14" xfId="4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4" fillId="4" borderId="0" xfId="0" applyFont="1" applyFill="1" applyAlignment="1">
      <alignment horizontal="center"/>
    </xf>
    <xf numFmtId="10" fontId="35" fillId="0" borderId="14" xfId="4" applyNumberFormat="1" applyFont="1" applyFill="1" applyBorder="1" applyAlignment="1">
      <alignment horizontal="center" vertical="center"/>
    </xf>
    <xf numFmtId="10" fontId="34" fillId="0" borderId="4" xfId="4" applyNumberFormat="1" applyFont="1" applyFill="1" applyBorder="1"/>
    <xf numFmtId="0" fontId="36" fillId="0" borderId="0" xfId="0" applyFont="1" applyAlignment="1">
      <alignment horizontal="center"/>
    </xf>
    <xf numFmtId="0" fontId="36" fillId="4" borderId="0" xfId="0" applyFont="1" applyFill="1" applyAlignment="1">
      <alignment horizontal="center"/>
    </xf>
    <xf numFmtId="10" fontId="37" fillId="0" borderId="16" xfId="4" applyNumberFormat="1" applyFont="1" applyFill="1" applyBorder="1" applyAlignment="1">
      <alignment horizontal="center" vertical="center"/>
    </xf>
    <xf numFmtId="10" fontId="37" fillId="0" borderId="4" xfId="4" applyNumberFormat="1" applyFont="1" applyFill="1" applyBorder="1" applyAlignment="1">
      <alignment horizontal="center" vertical="center"/>
    </xf>
    <xf numFmtId="4" fontId="15" fillId="14" borderId="6" xfId="1" applyNumberFormat="1" applyFont="1" applyFill="1" applyBorder="1" applyAlignment="1">
      <alignment horizontal="center"/>
    </xf>
    <xf numFmtId="4" fontId="15" fillId="0" borderId="6" xfId="1" applyNumberFormat="1" applyFont="1" applyBorder="1" applyAlignment="1">
      <alignment horizontal="center"/>
    </xf>
    <xf numFmtId="4" fontId="7" fillId="3" borderId="6" xfId="1" applyNumberFormat="1" applyFont="1" applyFill="1" applyBorder="1" applyAlignment="1">
      <alignment horizontal="center"/>
    </xf>
    <xf numFmtId="4" fontId="6" fillId="0" borderId="6" xfId="1" applyNumberFormat="1" applyFont="1" applyBorder="1" applyAlignment="1">
      <alignment horizontal="center" vertical="center"/>
    </xf>
    <xf numFmtId="0" fontId="6" fillId="18" borderId="8" xfId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43" fontId="23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" fontId="6" fillId="0" borderId="6" xfId="1" applyNumberFormat="1" applyFont="1" applyBorder="1" applyAlignment="1">
      <alignment horizontal="center"/>
    </xf>
    <xf numFmtId="0" fontId="6" fillId="28" borderId="8" xfId="1" applyFont="1" applyFill="1" applyBorder="1" applyAlignment="1">
      <alignment horizontal="center" vertical="center" wrapText="1"/>
    </xf>
    <xf numFmtId="0" fontId="7" fillId="0" borderId="17" xfId="1" applyFont="1" applyBorder="1" applyAlignment="1">
      <alignment vertical="center"/>
    </xf>
    <xf numFmtId="0" fontId="6" fillId="5" borderId="8" xfId="1" applyFont="1" applyFill="1" applyBorder="1" applyAlignment="1">
      <alignment horizontal="center" vertical="center" wrapText="1"/>
    </xf>
    <xf numFmtId="0" fontId="6" fillId="18" borderId="8" xfId="1" applyFont="1" applyFill="1" applyBorder="1" applyAlignment="1">
      <alignment horizontal="center" wrapText="1"/>
    </xf>
    <xf numFmtId="2" fontId="6" fillId="18" borderId="6" xfId="1" applyNumberFormat="1" applyFont="1" applyFill="1" applyBorder="1" applyAlignment="1">
      <alignment horizontal="center" wrapText="1"/>
    </xf>
    <xf numFmtId="0" fontId="6" fillId="18" borderId="6" xfId="1" applyFont="1" applyFill="1" applyBorder="1" applyAlignment="1">
      <alignment horizontal="center" wrapText="1"/>
    </xf>
    <xf numFmtId="0" fontId="42" fillId="30" borderId="30" xfId="0" applyFont="1" applyFill="1" applyBorder="1" applyAlignment="1">
      <alignment horizontal="center" vertical="center" wrapText="1"/>
    </xf>
    <xf numFmtId="0" fontId="42" fillId="30" borderId="30" xfId="0" applyFont="1" applyFill="1" applyBorder="1" applyAlignment="1">
      <alignment horizontal="right" vertical="center" wrapText="1"/>
    </xf>
    <xf numFmtId="10" fontId="42" fillId="30" borderId="30" xfId="0" applyNumberFormat="1" applyFont="1" applyFill="1" applyBorder="1" applyAlignment="1">
      <alignment horizontal="right" vertical="center" wrapText="1"/>
    </xf>
    <xf numFmtId="0" fontId="43" fillId="32" borderId="26" xfId="0" applyFont="1" applyFill="1" applyBorder="1" applyAlignment="1">
      <alignment horizontal="center" vertical="center" wrapText="1"/>
    </xf>
    <xf numFmtId="0" fontId="43" fillId="33" borderId="26" xfId="0" applyFont="1" applyFill="1" applyBorder="1" applyAlignment="1">
      <alignment horizontal="center" vertical="center" wrapText="1"/>
    </xf>
    <xf numFmtId="0" fontId="43" fillId="34" borderId="26" xfId="0" applyFont="1" applyFill="1" applyBorder="1" applyAlignment="1">
      <alignment horizontal="center" vertical="center" wrapText="1"/>
    </xf>
    <xf numFmtId="0" fontId="43" fillId="32" borderId="27" xfId="0" applyFont="1" applyFill="1" applyBorder="1" applyAlignment="1">
      <alignment horizontal="center" vertical="center" wrapText="1"/>
    </xf>
    <xf numFmtId="0" fontId="43" fillId="33" borderId="27" xfId="0" applyFont="1" applyFill="1" applyBorder="1" applyAlignment="1">
      <alignment horizontal="center" vertical="center" wrapText="1"/>
    </xf>
    <xf numFmtId="0" fontId="43" fillId="34" borderId="27" xfId="0" applyFont="1" applyFill="1" applyBorder="1" applyAlignment="1">
      <alignment horizontal="center" vertical="center" wrapText="1"/>
    </xf>
    <xf numFmtId="0" fontId="45" fillId="34" borderId="27" xfId="0" applyFont="1" applyFill="1" applyBorder="1" applyAlignment="1">
      <alignment horizontal="center" vertical="center" wrapText="1"/>
    </xf>
    <xf numFmtId="0" fontId="45" fillId="32" borderId="28" xfId="0" applyFont="1" applyFill="1" applyBorder="1" applyAlignment="1">
      <alignment horizontal="center" vertical="center" wrapText="1"/>
    </xf>
    <xf numFmtId="0" fontId="43" fillId="33" borderId="29" xfId="0" applyFont="1" applyFill="1" applyBorder="1" applyAlignment="1">
      <alignment horizontal="center" vertical="center" wrapText="1"/>
    </xf>
    <xf numFmtId="0" fontId="45" fillId="34" borderId="28" xfId="0" applyFont="1" applyFill="1" applyBorder="1" applyAlignment="1">
      <alignment horizontal="center" vertical="center" wrapText="1"/>
    </xf>
    <xf numFmtId="0" fontId="46" fillId="34" borderId="28" xfId="0" applyFont="1" applyFill="1" applyBorder="1" applyAlignment="1">
      <alignment vertical="center" wrapText="1"/>
    </xf>
    <xf numFmtId="4" fontId="6" fillId="8" borderId="6" xfId="1" applyNumberFormat="1" applyFont="1" applyFill="1" applyBorder="1" applyAlignment="1">
      <alignment horizontal="center"/>
    </xf>
    <xf numFmtId="10" fontId="4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17" borderId="6" xfId="1" applyFont="1" applyFill="1" applyBorder="1" applyAlignment="1">
      <alignment horizontal="center" vertical="center" wrapText="1"/>
    </xf>
    <xf numFmtId="4" fontId="6" fillId="17" borderId="6" xfId="1" applyNumberFormat="1" applyFont="1" applyFill="1" applyBorder="1" applyAlignment="1">
      <alignment horizontal="center" vertical="center" wrapText="1"/>
    </xf>
    <xf numFmtId="2" fontId="6" fillId="16" borderId="6" xfId="1" applyNumberFormat="1" applyFont="1" applyFill="1" applyBorder="1" applyAlignment="1">
      <alignment horizontal="right" vertical="center"/>
    </xf>
    <xf numFmtId="0" fontId="6" fillId="27" borderId="8" xfId="1" applyFont="1" applyFill="1" applyBorder="1" applyAlignment="1">
      <alignment horizontal="center" wrapText="1"/>
    </xf>
    <xf numFmtId="4" fontId="6" fillId="29" borderId="6" xfId="1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2" fontId="6" fillId="7" borderId="6" xfId="1" applyNumberFormat="1" applyFont="1" applyFill="1" applyBorder="1" applyAlignment="1">
      <alignment horizontal="center" vertical="center" wrapText="1"/>
    </xf>
    <xf numFmtId="2" fontId="6" fillId="17" borderId="6" xfId="1" applyNumberFormat="1" applyFont="1" applyFill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 wrapText="1"/>
    </xf>
    <xf numFmtId="0" fontId="6" fillId="18" borderId="6" xfId="1" applyFont="1" applyFill="1" applyBorder="1" applyAlignment="1">
      <alignment horizontal="center" vertical="center"/>
    </xf>
    <xf numFmtId="0" fontId="6" fillId="18" borderId="6" xfId="0" applyFont="1" applyFill="1" applyBorder="1" applyAlignment="1">
      <alignment horizontal="center" vertical="center" wrapText="1"/>
    </xf>
    <xf numFmtId="4" fontId="6" fillId="18" borderId="6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4" fontId="6" fillId="9" borderId="6" xfId="1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12" borderId="6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/>
    </xf>
    <xf numFmtId="0" fontId="6" fillId="18" borderId="6" xfId="1" applyFont="1" applyFill="1" applyBorder="1" applyAlignment="1">
      <alignment horizontal="center" vertical="center" wrapText="1"/>
    </xf>
    <xf numFmtId="0" fontId="6" fillId="20" borderId="6" xfId="1" applyFont="1" applyFill="1" applyBorder="1" applyAlignment="1">
      <alignment horizontal="center" vertical="center"/>
    </xf>
    <xf numFmtId="0" fontId="6" fillId="7" borderId="6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17" borderId="6" xfId="1" applyFont="1" applyFill="1" applyBorder="1" applyAlignment="1">
      <alignment horizontal="center" vertical="center" wrapText="1"/>
    </xf>
    <xf numFmtId="0" fontId="6" fillId="18" borderId="7" xfId="1" applyFont="1" applyFill="1" applyBorder="1" applyAlignment="1">
      <alignment horizontal="center" vertical="center" wrapText="1"/>
    </xf>
    <xf numFmtId="0" fontId="6" fillId="18" borderId="21" xfId="1" applyFont="1" applyFill="1" applyBorder="1" applyAlignment="1">
      <alignment horizontal="center" vertical="center" wrapText="1"/>
    </xf>
    <xf numFmtId="0" fontId="6" fillId="18" borderId="20" xfId="1" applyFont="1" applyFill="1" applyBorder="1" applyAlignment="1">
      <alignment horizontal="center" vertical="center" wrapText="1"/>
    </xf>
    <xf numFmtId="0" fontId="6" fillId="18" borderId="19" xfId="1" applyFont="1" applyFill="1" applyBorder="1" applyAlignment="1">
      <alignment horizontal="center" vertical="center"/>
    </xf>
    <xf numFmtId="0" fontId="6" fillId="18" borderId="8" xfId="1" applyFont="1" applyFill="1" applyBorder="1" applyAlignment="1">
      <alignment horizontal="center" vertical="center"/>
    </xf>
    <xf numFmtId="0" fontId="6" fillId="18" borderId="19" xfId="1" applyFont="1" applyFill="1" applyBorder="1" applyAlignment="1">
      <alignment horizontal="center" vertical="center" wrapText="1"/>
    </xf>
    <xf numFmtId="0" fontId="6" fillId="18" borderId="8" xfId="1" applyFont="1" applyFill="1" applyBorder="1" applyAlignment="1">
      <alignment horizontal="center" vertical="center" wrapText="1"/>
    </xf>
    <xf numFmtId="0" fontId="6" fillId="18" borderId="7" xfId="1" applyFont="1" applyFill="1" applyBorder="1" applyAlignment="1">
      <alignment horizontal="center"/>
    </xf>
    <xf numFmtId="0" fontId="6" fillId="18" borderId="21" xfId="1" applyFont="1" applyFill="1" applyBorder="1" applyAlignment="1">
      <alignment horizontal="center"/>
    </xf>
    <xf numFmtId="0" fontId="6" fillId="18" borderId="20" xfId="1" applyFont="1" applyFill="1" applyBorder="1" applyAlignment="1">
      <alignment horizontal="center"/>
    </xf>
    <xf numFmtId="0" fontId="6" fillId="12" borderId="19" xfId="1" applyFont="1" applyFill="1" applyBorder="1" applyAlignment="1">
      <alignment horizontal="center" vertical="center" wrapText="1"/>
    </xf>
    <xf numFmtId="0" fontId="6" fillId="12" borderId="8" xfId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3" fillId="31" borderId="31" xfId="0" applyFont="1" applyFill="1" applyBorder="1" applyAlignment="1">
      <alignment horizontal="center" vertical="center" wrapText="1"/>
    </xf>
    <xf numFmtId="0" fontId="43" fillId="31" borderId="32" xfId="0" applyFont="1" applyFill="1" applyBorder="1" applyAlignment="1">
      <alignment horizontal="center" vertical="center" wrapText="1"/>
    </xf>
    <xf numFmtId="0" fontId="43" fillId="31" borderId="33" xfId="0" applyFont="1" applyFill="1" applyBorder="1" applyAlignment="1">
      <alignment horizontal="center" vertical="center" wrapText="1"/>
    </xf>
    <xf numFmtId="0" fontId="43" fillId="34" borderId="31" xfId="0" applyFont="1" applyFill="1" applyBorder="1" applyAlignment="1">
      <alignment horizontal="center" vertical="center" wrapText="1"/>
    </xf>
    <xf numFmtId="0" fontId="43" fillId="34" borderId="32" xfId="0" applyFont="1" applyFill="1" applyBorder="1" applyAlignment="1">
      <alignment horizontal="center" vertical="center" wrapText="1"/>
    </xf>
    <xf numFmtId="0" fontId="43" fillId="34" borderId="33" xfId="0" applyFont="1" applyFill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23" fillId="2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39" fillId="24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2" fontId="11" fillId="3" borderId="6" xfId="0" applyNumberFormat="1" applyFont="1" applyFill="1" applyBorder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168" fontId="39" fillId="0" borderId="0" xfId="0" applyNumberFormat="1" applyFont="1" applyAlignment="1">
      <alignment horizontal="center" vertical="center"/>
    </xf>
    <xf numFmtId="169" fontId="39" fillId="0" borderId="0" xfId="0" applyNumberFormat="1" applyFont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3" fillId="25" borderId="6" xfId="0" applyFont="1" applyFill="1" applyBorder="1" applyAlignment="1">
      <alignment horizontal="center" vertical="center"/>
    </xf>
    <xf numFmtId="0" fontId="11" fillId="21" borderId="6" xfId="0" applyFont="1" applyFill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49" fillId="22" borderId="6" xfId="0" applyFont="1" applyFill="1" applyBorder="1" applyAlignment="1">
      <alignment horizontal="center" vertical="center"/>
    </xf>
    <xf numFmtId="0" fontId="48" fillId="23" borderId="6" xfId="0" applyFont="1" applyFill="1" applyBorder="1" applyAlignment="1">
      <alignment horizontal="center" vertical="center"/>
    </xf>
    <xf numFmtId="0" fontId="39" fillId="24" borderId="6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23" borderId="6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170" fontId="39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5" fontId="39" fillId="24" borderId="6" xfId="0" applyNumberFormat="1" applyFont="1" applyFill="1" applyBorder="1" applyAlignment="1">
      <alignment horizontal="center" vertical="center" wrapText="1"/>
    </xf>
    <xf numFmtId="43" fontId="11" fillId="0" borderId="6" xfId="2" applyFont="1" applyFill="1" applyBorder="1" applyAlignment="1">
      <alignment horizontal="center" vertical="center"/>
    </xf>
    <xf numFmtId="43" fontId="11" fillId="23" borderId="6" xfId="2" applyFont="1" applyFill="1" applyBorder="1" applyAlignment="1">
      <alignment horizontal="center" vertical="center"/>
    </xf>
    <xf numFmtId="43" fontId="11" fillId="3" borderId="6" xfId="2" applyFont="1" applyFill="1" applyBorder="1" applyAlignment="1">
      <alignment horizontal="center" vertical="center"/>
    </xf>
    <xf numFmtId="43" fontId="23" fillId="6" borderId="6" xfId="2" applyFont="1" applyFill="1" applyBorder="1" applyAlignment="1">
      <alignment horizontal="center" vertical="center"/>
    </xf>
    <xf numFmtId="169" fontId="4" fillId="27" borderId="6" xfId="3" applyNumberFormat="1" applyFont="1" applyFill="1" applyBorder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11" fillId="12" borderId="6" xfId="0" applyFont="1" applyFill="1" applyBorder="1" applyAlignment="1">
      <alignment horizontal="left" vertical="center"/>
    </xf>
    <xf numFmtId="0" fontId="11" fillId="13" borderId="6" xfId="0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left" vertical="center"/>
    </xf>
    <xf numFmtId="0" fontId="11" fillId="26" borderId="6" xfId="0" applyFont="1" applyFill="1" applyBorder="1" applyAlignment="1">
      <alignment horizontal="left" vertical="center"/>
    </xf>
    <xf numFmtId="0" fontId="11" fillId="19" borderId="6" xfId="0" applyFont="1" applyFill="1" applyBorder="1" applyAlignment="1">
      <alignment horizontal="left" vertical="center"/>
    </xf>
    <xf numFmtId="0" fontId="6" fillId="5" borderId="21" xfId="1" applyFont="1" applyFill="1" applyBorder="1" applyAlignment="1">
      <alignment vertical="center" wrapText="1"/>
    </xf>
    <xf numFmtId="0" fontId="6" fillId="5" borderId="20" xfId="1" applyFont="1" applyFill="1" applyBorder="1" applyAlignment="1">
      <alignment vertical="center" wrapText="1"/>
    </xf>
    <xf numFmtId="0" fontId="6" fillId="7" borderId="8" xfId="1" applyFont="1" applyFill="1" applyBorder="1" applyAlignment="1">
      <alignment horizontal="center" textRotation="90" wrapText="1"/>
    </xf>
    <xf numFmtId="0" fontId="6" fillId="7" borderId="25" xfId="1" applyFont="1" applyFill="1" applyBorder="1" applyAlignment="1">
      <alignment horizontal="center" textRotation="90" wrapText="1"/>
    </xf>
    <xf numFmtId="0" fontId="6" fillId="7" borderId="7" xfId="1" applyFont="1" applyFill="1" applyBorder="1" applyAlignment="1">
      <alignment horizontal="center" vertical="center" wrapText="1"/>
    </xf>
    <xf numFmtId="0" fontId="6" fillId="7" borderId="21" xfId="1" applyFont="1" applyFill="1" applyBorder="1" applyAlignment="1">
      <alignment horizontal="center" vertical="center" wrapText="1"/>
    </xf>
    <xf numFmtId="0" fontId="6" fillId="9" borderId="25" xfId="1" applyFont="1" applyFill="1" applyBorder="1" applyAlignment="1">
      <alignment horizontal="center" textRotation="90" wrapText="1"/>
    </xf>
    <xf numFmtId="0" fontId="6" fillId="9" borderId="6" xfId="1" applyFont="1" applyFill="1" applyBorder="1" applyAlignment="1">
      <alignment horizontal="center" vertical="center" wrapText="1"/>
    </xf>
    <xf numFmtId="3" fontId="6" fillId="8" borderId="6" xfId="1" applyNumberFormat="1" applyFont="1" applyFill="1" applyBorder="1" applyAlignment="1">
      <alignment horizontal="center"/>
    </xf>
    <xf numFmtId="3" fontId="11" fillId="0" borderId="6" xfId="1" applyNumberFormat="1" applyFont="1" applyBorder="1" applyAlignment="1">
      <alignment horizontal="center"/>
    </xf>
  </cellXfs>
  <cellStyles count="5">
    <cellStyle name="Millares" xfId="2" builtinId="3"/>
    <cellStyle name="Moneda" xfId="3" builtinId="4"/>
    <cellStyle name="Normal" xfId="0" builtinId="0"/>
    <cellStyle name="Normal 2" xfId="1" xr:uid="{E58CF79A-8D44-4706-8AD8-0A316D960C6F}"/>
    <cellStyle name="Porcentaje" xfId="4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66675</xdr:colOff>
      <xdr:row>0</xdr:row>
      <xdr:rowOff>0</xdr:rowOff>
    </xdr:from>
    <xdr:to>
      <xdr:col>33</xdr:col>
      <xdr:colOff>790575</xdr:colOff>
      <xdr:row>1</xdr:row>
      <xdr:rowOff>180975</xdr:rowOff>
    </xdr:to>
    <xdr:sp macro="" textlink="">
      <xdr:nvSpPr>
        <xdr:cNvPr id="3" name="1 Llamada con línea 2">
          <a:extLst>
            <a:ext uri="{FF2B5EF4-FFF2-40B4-BE49-F238E27FC236}">
              <a16:creationId xmlns:a16="http://schemas.microsoft.com/office/drawing/2014/main" id="{404CA382-9CD0-48B0-9068-BADD3212DA83}"/>
            </a:ext>
          </a:extLst>
        </xdr:cNvPr>
        <xdr:cNvSpPr/>
      </xdr:nvSpPr>
      <xdr:spPr>
        <a:xfrm>
          <a:off x="24092535" y="47625"/>
          <a:ext cx="1508760" cy="514350"/>
        </a:xfrm>
        <a:prstGeom prst="borderCallout2">
          <a:avLst>
            <a:gd name="adj1" fmla="val 18750"/>
            <a:gd name="adj2" fmla="val -1282"/>
            <a:gd name="adj3" fmla="val 18750"/>
            <a:gd name="adj4" fmla="val -16667"/>
            <a:gd name="adj5" fmla="val 183146"/>
            <a:gd name="adj6" fmla="val -45776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800"/>
            <a:t>Cambiar</a:t>
          </a:r>
          <a:r>
            <a:rPr lang="es-PE" sz="800" baseline="0"/>
            <a:t> a fin de mes de acuerdo al maximo de horas trabajadas</a:t>
          </a:r>
          <a:endParaRPr lang="es-PE" sz="8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804BA-11AE-4B5B-BC18-44919032367E}" name="tbl_descuentos" displayName="tbl_descuentos" ref="AB58:AE67" totalsRowShown="0" headerRowDxfId="5" dataDxfId="4">
  <autoFilter ref="AB58:AE67" xr:uid="{818804BA-11AE-4B5B-BC18-44919032367E}"/>
  <tableColumns count="4">
    <tableColumn id="1" xr3:uid="{7169C121-7AA1-47AB-9629-CEAAF7DCE379}" name="SEGURO" dataDxfId="3"/>
    <tableColumn id="2" xr3:uid="{C1EF3C23-42C6-4A88-AB69-2A650763185A}" name="% DESC" dataDxfId="2"/>
    <tableColumn id="4" xr3:uid="{47B6E14E-A927-4873-959F-E09B80DD02EA}" name="% PRIMA" dataDxfId="1"/>
    <tableColumn id="5" xr3:uid="{E84555D7-B7BE-42E9-99C1-84E7C3EA346C}" name="% PRIMA &gt; 6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9F44-8EAB-48B9-A4A9-4B735FB4E960}">
  <dimension ref="A1:AI74"/>
  <sheetViews>
    <sheetView topLeftCell="L1" zoomScale="85" zoomScaleNormal="85" workbookViewId="0">
      <selection activeCell="F51" sqref="F51"/>
    </sheetView>
  </sheetViews>
  <sheetFormatPr baseColWidth="10" defaultRowHeight="13.8" outlineLevelCol="1"/>
  <cols>
    <col min="1" max="1" width="4.33203125" style="6" customWidth="1" outlineLevel="1"/>
    <col min="2" max="2" width="28.88671875" style="2" customWidth="1" outlineLevel="1"/>
    <col min="3" max="3" width="8.44140625" style="2" customWidth="1" outlineLevel="1"/>
    <col min="4" max="4" width="10.44140625" style="2" customWidth="1" outlineLevel="1"/>
    <col min="5" max="5" width="11.6640625" style="2" customWidth="1" outlineLevel="1"/>
    <col min="6" max="6" width="9.6640625" style="2" customWidth="1" outlineLevel="1"/>
    <col min="7" max="7" width="10.33203125" style="2" customWidth="1" outlineLevel="1"/>
    <col min="8" max="10" width="10.6640625" style="2" customWidth="1" outlineLevel="1"/>
    <col min="11" max="11" width="9.6640625" style="2" customWidth="1" outlineLevel="1"/>
    <col min="12" max="12" width="10" style="2" customWidth="1" outlineLevel="1"/>
    <col min="13" max="13" width="9.77734375" style="2" customWidth="1" outlineLevel="1"/>
    <col min="14" max="15" width="10.109375" style="2" customWidth="1" outlineLevel="1"/>
    <col min="16" max="16" width="9.44140625" style="2" customWidth="1" outlineLevel="1"/>
    <col min="17" max="17" width="10.44140625" style="2" customWidth="1" outlineLevel="1"/>
    <col min="18" max="18" width="8.109375" style="2" customWidth="1" outlineLevel="1"/>
    <col min="19" max="19" width="14.5546875" style="3" customWidth="1" outlineLevel="1"/>
    <col min="20" max="20" width="12.88671875" style="2" customWidth="1" outlineLevel="1"/>
    <col min="21" max="21" width="9.44140625" style="21" customWidth="1" outlineLevel="1"/>
    <col min="22" max="22" width="7.6640625" style="21" customWidth="1" outlineLevel="1"/>
    <col min="23" max="23" width="3.21875" style="22" customWidth="1"/>
    <col min="24" max="24" width="3.6640625" style="10" customWidth="1"/>
    <col min="25" max="25" width="30.6640625" style="2" bestFit="1" customWidth="1"/>
    <col min="26" max="26" width="12.6640625" style="6" customWidth="1"/>
    <col min="27" max="27" width="11.5546875" style="2" customWidth="1" outlineLevel="1"/>
    <col min="28" max="28" width="13.109375" style="2" customWidth="1" outlineLevel="1"/>
    <col min="29" max="29" width="11" style="2" customWidth="1" outlineLevel="1"/>
    <col min="30" max="30" width="11.44140625" style="2" customWidth="1" outlineLevel="1"/>
    <col min="31" max="31" width="4.44140625" style="2" customWidth="1" outlineLevel="1"/>
    <col min="32" max="32" width="11.88671875" style="10" customWidth="1"/>
    <col min="33" max="33" width="11.44140625" style="10" customWidth="1"/>
    <col min="34" max="34" width="16.33203125" style="24" customWidth="1"/>
    <col min="35" max="35" width="13.5546875" style="2" customWidth="1"/>
    <col min="36" max="16384" width="11.5546875" style="2"/>
  </cols>
  <sheetData>
    <row r="1" spans="1:35">
      <c r="A1" s="16"/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>
        <f>R2*8</f>
        <v>216</v>
      </c>
      <c r="S1" s="20" t="s">
        <v>1</v>
      </c>
      <c r="U1" s="1"/>
      <c r="V1" s="2"/>
      <c r="X1" s="23"/>
      <c r="Y1" s="10" t="s">
        <v>2</v>
      </c>
    </row>
    <row r="2" spans="1: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5">
        <v>27</v>
      </c>
      <c r="S2" s="26" t="s">
        <v>97</v>
      </c>
      <c r="U2" s="2"/>
      <c r="V2" s="3"/>
      <c r="AC2" s="1"/>
    </row>
    <row r="3" spans="1: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8">
        <v>31</v>
      </c>
      <c r="S3" s="29" t="s">
        <v>98</v>
      </c>
      <c r="U3" s="30"/>
      <c r="X3" s="213"/>
      <c r="Y3" s="213"/>
      <c r="Z3" s="213"/>
      <c r="AA3" s="213"/>
      <c r="AB3" s="213"/>
      <c r="AC3" s="213"/>
      <c r="AD3" s="213"/>
      <c r="AE3" s="32"/>
      <c r="AF3" s="213" t="s">
        <v>4</v>
      </c>
      <c r="AG3" s="213"/>
      <c r="AH3" s="213"/>
      <c r="AI3" s="213"/>
    </row>
    <row r="4" spans="1:35" ht="20.399999999999999" customHeight="1">
      <c r="A4" s="216" t="s">
        <v>92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X4" s="213" t="s">
        <v>3</v>
      </c>
      <c r="Y4" s="213"/>
      <c r="Z4" s="213"/>
      <c r="AA4" s="213"/>
      <c r="AB4" s="213"/>
      <c r="AC4" s="213"/>
      <c r="AD4" s="213"/>
      <c r="AE4" s="32"/>
      <c r="AF4" s="31"/>
      <c r="AG4" s="31"/>
      <c r="AH4" s="31"/>
      <c r="AI4" s="31"/>
    </row>
    <row r="5" spans="1:35" ht="15" customHeight="1" thickBot="1">
      <c r="A5" s="219" t="s">
        <v>6</v>
      </c>
      <c r="B5" s="219" t="s">
        <v>7</v>
      </c>
      <c r="C5" s="229" t="s">
        <v>8</v>
      </c>
      <c r="D5" s="228" t="s">
        <v>5</v>
      </c>
      <c r="E5" s="228"/>
      <c r="F5" s="228"/>
      <c r="G5" s="228"/>
      <c r="H5" s="227" t="s">
        <v>5</v>
      </c>
      <c r="I5" s="227" t="s">
        <v>96</v>
      </c>
      <c r="J5" s="231" t="s">
        <v>93</v>
      </c>
      <c r="K5" s="214" t="s">
        <v>99</v>
      </c>
      <c r="L5" s="214"/>
      <c r="M5" s="214"/>
      <c r="N5" s="214"/>
      <c r="O5" s="215" t="s">
        <v>102</v>
      </c>
      <c r="P5" s="215"/>
      <c r="Q5" s="215"/>
      <c r="R5" s="215"/>
      <c r="S5" s="223" t="s">
        <v>100</v>
      </c>
      <c r="T5" s="222" t="s">
        <v>101</v>
      </c>
      <c r="U5" s="221" t="s">
        <v>17</v>
      </c>
      <c r="V5" s="220" t="s">
        <v>18</v>
      </c>
      <c r="W5" s="35"/>
      <c r="X5" s="230" t="s">
        <v>6</v>
      </c>
      <c r="Y5" s="230" t="s">
        <v>7</v>
      </c>
      <c r="Z5" s="218" t="s">
        <v>19</v>
      </c>
      <c r="AA5" s="218" t="s">
        <v>20</v>
      </c>
      <c r="AB5" s="218" t="s">
        <v>21</v>
      </c>
      <c r="AC5" s="218" t="s">
        <v>22</v>
      </c>
      <c r="AD5" s="218" t="s">
        <v>23</v>
      </c>
      <c r="AF5" s="211" t="s">
        <v>24</v>
      </c>
      <c r="AG5" s="212" t="s">
        <v>25</v>
      </c>
    </row>
    <row r="6" spans="1:35" ht="39.6" customHeight="1">
      <c r="A6" s="219"/>
      <c r="B6" s="219"/>
      <c r="C6" s="229"/>
      <c r="D6" s="36" t="s">
        <v>9</v>
      </c>
      <c r="E6" s="37" t="s">
        <v>10</v>
      </c>
      <c r="F6" s="38" t="s">
        <v>11</v>
      </c>
      <c r="G6" s="38" t="s">
        <v>12</v>
      </c>
      <c r="H6" s="227"/>
      <c r="I6" s="227"/>
      <c r="J6" s="231"/>
      <c r="K6" s="33" t="s">
        <v>13</v>
      </c>
      <c r="L6" s="33" t="s">
        <v>14</v>
      </c>
      <c r="M6" s="33" t="s">
        <v>15</v>
      </c>
      <c r="N6" s="39" t="s">
        <v>27</v>
      </c>
      <c r="O6" s="34" t="s">
        <v>16</v>
      </c>
      <c r="P6" s="34" t="s">
        <v>28</v>
      </c>
      <c r="Q6" s="34" t="s">
        <v>95</v>
      </c>
      <c r="R6" s="34" t="s">
        <v>94</v>
      </c>
      <c r="S6" s="223"/>
      <c r="T6" s="222"/>
      <c r="U6" s="221"/>
      <c r="V6" s="220"/>
      <c r="W6" s="40"/>
      <c r="X6" s="230"/>
      <c r="Y6" s="230"/>
      <c r="Z6" s="218"/>
      <c r="AA6" s="218"/>
      <c r="AB6" s="218"/>
      <c r="AC6" s="218"/>
      <c r="AD6" s="218"/>
      <c r="AF6" s="211"/>
      <c r="AG6" s="212"/>
      <c r="AI6" s="41" t="s">
        <v>26</v>
      </c>
    </row>
    <row r="7" spans="1:35">
      <c r="A7" s="42">
        <v>1</v>
      </c>
      <c r="B7" s="43" t="s">
        <v>29</v>
      </c>
      <c r="C7" s="44" t="s">
        <v>30</v>
      </c>
      <c r="D7" s="45">
        <f t="shared" ref="D7:D54" si="0">37.6666666666667*$R$3</f>
        <v>1167.6666666666677</v>
      </c>
      <c r="E7" s="46">
        <v>125</v>
      </c>
      <c r="F7" s="46"/>
      <c r="G7" s="46"/>
      <c r="H7" s="46">
        <f>SUM(D7:G7)</f>
        <v>1292.6666666666677</v>
      </c>
      <c r="I7" s="47">
        <f>H7*$D$66</f>
        <v>168.82226666666679</v>
      </c>
      <c r="J7" s="47">
        <f>H7-I7</f>
        <v>1123.8444000000009</v>
      </c>
      <c r="K7" s="48">
        <f>((D7+E7+F7)*(9.72%))</f>
        <v>125.64720000000011</v>
      </c>
      <c r="L7" s="45">
        <f t="shared" ref="L7:L21" si="1">(D7+E7+F7)*(16.66%)</f>
        <v>215.35826666666682</v>
      </c>
      <c r="M7" s="45">
        <f>L7*6%</f>
        <v>12.921496000000008</v>
      </c>
      <c r="N7" s="49">
        <f>(1130*30%)/(30)*30</f>
        <v>339</v>
      </c>
      <c r="O7" s="49">
        <f t="shared" ref="O7:O50" si="2">H7*6%</f>
        <v>77.560000000000059</v>
      </c>
      <c r="P7" s="48">
        <f>((H7*(0.63%))*1.18)</f>
        <v>9.6096840000000068</v>
      </c>
      <c r="Q7" s="48">
        <f>(H7*(0.57%))*1.18</f>
        <v>8.6944760000000052</v>
      </c>
      <c r="R7" s="45">
        <f>(H7*(0.55%))*1.18</f>
        <v>8.3894066666666731</v>
      </c>
      <c r="S7" s="50">
        <f>J7+K7+L7+M7+N7</f>
        <v>1816.7713626666678</v>
      </c>
      <c r="T7" s="51">
        <f t="shared" ref="T7:T54" si="3">H7+K7+L7+M7+N7+O7+P7+Q7+R7</f>
        <v>2089.8471960000015</v>
      </c>
      <c r="U7" s="52">
        <f t="shared" ref="U7:U54" si="4">T7/$R$2</f>
        <v>77.401748000000055</v>
      </c>
      <c r="V7" s="53">
        <f>+U7/8</f>
        <v>9.6752185000000068</v>
      </c>
      <c r="W7" s="55"/>
      <c r="X7" s="42">
        <f t="shared" ref="X7:X54" si="5">A7</f>
        <v>1</v>
      </c>
      <c r="Y7" s="56" t="str">
        <f t="shared" ref="Y7:Y54" si="6">B7</f>
        <v>Apaza Tito Patricia</v>
      </c>
      <c r="Z7" s="57">
        <f t="shared" ref="Z7:Z54" si="7">AA7-S7</f>
        <v>708.22863733333224</v>
      </c>
      <c r="AA7" s="58">
        <f>2400+125</f>
        <v>2525</v>
      </c>
      <c r="AB7" s="59">
        <f t="shared" ref="AB7:AB54" si="8">T7+Z7</f>
        <v>2798.0758333333338</v>
      </c>
      <c r="AC7" s="60">
        <f t="shared" ref="AC7:AC54" si="9">AB7/$R$2</f>
        <v>103.63243827160495</v>
      </c>
      <c r="AD7" s="61">
        <f t="shared" ref="AD7:AD50" si="10">+AC7/8</f>
        <v>12.954054783950619</v>
      </c>
      <c r="AF7" s="62">
        <f t="shared" ref="AF7:AF54" si="11">Z7/$R$1</f>
        <v>3.2788362839506124</v>
      </c>
      <c r="AG7" s="63"/>
      <c r="AH7" s="64"/>
      <c r="AI7" s="4"/>
    </row>
    <row r="8" spans="1:35">
      <c r="A8" s="65">
        <v>2</v>
      </c>
      <c r="B8" s="66" t="s">
        <v>31</v>
      </c>
      <c r="C8" s="44" t="s">
        <v>30</v>
      </c>
      <c r="D8" s="45">
        <f t="shared" si="0"/>
        <v>1167.6666666666677</v>
      </c>
      <c r="E8" s="67"/>
      <c r="F8" s="67"/>
      <c r="G8" s="67"/>
      <c r="H8" s="46">
        <f t="shared" ref="H8:H54" si="12">SUM(D8:G8)</f>
        <v>1167.6666666666677</v>
      </c>
      <c r="I8" s="47">
        <f>H8*$D$66</f>
        <v>152.49726666666677</v>
      </c>
      <c r="J8" s="47">
        <f t="shared" ref="J8:J54" si="13">H8-I8</f>
        <v>1015.1694000000009</v>
      </c>
      <c r="K8" s="48">
        <f>((D8+E8+F8)*(9.72%))</f>
        <v>113.49720000000011</v>
      </c>
      <c r="L8" s="45">
        <f>(D8+E8+F8)*(16.66%)</f>
        <v>194.53326666666683</v>
      </c>
      <c r="M8" s="45">
        <f>L8*6%</f>
        <v>11.671996000000009</v>
      </c>
      <c r="N8" s="49">
        <f>(1130*30%)/(30)*30</f>
        <v>339</v>
      </c>
      <c r="O8" s="49">
        <f t="shared" si="2"/>
        <v>70.060000000000059</v>
      </c>
      <c r="P8" s="48">
        <f>((H8*(0.63%))*1.18)</f>
        <v>8.6804340000000071</v>
      </c>
      <c r="Q8" s="48">
        <f t="shared" ref="Q8:Q54" si="14">(H8*(0.57%))*1.18</f>
        <v>7.8537260000000053</v>
      </c>
      <c r="R8" s="45">
        <f>(H8*(0.55%))*1.18</f>
        <v>7.5781566666666738</v>
      </c>
      <c r="S8" s="50">
        <f t="shared" ref="S8:S54" si="15">J8+K8+L8+M8+N8</f>
        <v>1673.8718626666678</v>
      </c>
      <c r="T8" s="51">
        <f t="shared" si="3"/>
        <v>1920.5414460000013</v>
      </c>
      <c r="U8" s="52">
        <f t="shared" si="4"/>
        <v>71.13116466666672</v>
      </c>
      <c r="V8" s="53">
        <f t="shared" ref="V8:V54" si="16">+U8/8</f>
        <v>8.89139558333334</v>
      </c>
      <c r="W8" s="55"/>
      <c r="X8" s="42">
        <f t="shared" si="5"/>
        <v>2</v>
      </c>
      <c r="Y8" s="56" t="str">
        <f t="shared" si="6"/>
        <v>Aquino Gómez Basilia Isabel</v>
      </c>
      <c r="Z8" s="57">
        <f t="shared" si="7"/>
        <v>326.12813733333223</v>
      </c>
      <c r="AA8" s="58">
        <f>1775+100+125</f>
        <v>2000</v>
      </c>
      <c r="AB8" s="59">
        <f t="shared" si="8"/>
        <v>2246.6695833333333</v>
      </c>
      <c r="AC8" s="60">
        <f t="shared" si="9"/>
        <v>83.20998456790123</v>
      </c>
      <c r="AD8" s="61">
        <f t="shared" si="10"/>
        <v>10.401248070987654</v>
      </c>
      <c r="AF8" s="62">
        <f t="shared" si="11"/>
        <v>1.5098524876543158</v>
      </c>
      <c r="AG8" s="63"/>
      <c r="AH8" s="64"/>
      <c r="AI8" s="4"/>
    </row>
    <row r="9" spans="1:35">
      <c r="A9" s="42">
        <v>3</v>
      </c>
      <c r="B9" s="66" t="s">
        <v>32</v>
      </c>
      <c r="C9" s="44" t="s">
        <v>30</v>
      </c>
      <c r="D9" s="45">
        <f t="shared" si="0"/>
        <v>1167.6666666666677</v>
      </c>
      <c r="E9" s="67"/>
      <c r="F9" s="67"/>
      <c r="G9" s="67"/>
      <c r="H9" s="46">
        <f t="shared" si="12"/>
        <v>1167.6666666666677</v>
      </c>
      <c r="I9" s="47">
        <f>H9*$D$66</f>
        <v>152.49726666666677</v>
      </c>
      <c r="J9" s="47">
        <f t="shared" si="13"/>
        <v>1015.1694000000009</v>
      </c>
      <c r="K9" s="48">
        <f t="shared" ref="K9:K50" si="17">((D9+E9+F9)*(9.72%))</f>
        <v>113.49720000000011</v>
      </c>
      <c r="L9" s="45">
        <f t="shared" si="1"/>
        <v>194.53326666666683</v>
      </c>
      <c r="M9" s="45">
        <f>L9*6%</f>
        <v>11.671996000000009</v>
      </c>
      <c r="N9" s="49">
        <f t="shared" ref="N9:N53" si="18">(1130*30%)/(30)*30</f>
        <v>339</v>
      </c>
      <c r="O9" s="49">
        <f t="shared" si="2"/>
        <v>70.060000000000059</v>
      </c>
      <c r="P9" s="48">
        <f t="shared" ref="P9:P50" si="19">((H9*(0.63%))*1.18)</f>
        <v>8.6804340000000071</v>
      </c>
      <c r="Q9" s="48">
        <f t="shared" si="14"/>
        <v>7.8537260000000053</v>
      </c>
      <c r="R9" s="45">
        <f t="shared" ref="R9:R50" si="20">(H9*(0.55%))*1.18</f>
        <v>7.5781566666666738</v>
      </c>
      <c r="S9" s="50">
        <f t="shared" si="15"/>
        <v>1673.8718626666678</v>
      </c>
      <c r="T9" s="51">
        <f t="shared" si="3"/>
        <v>1920.5414460000013</v>
      </c>
      <c r="U9" s="52">
        <f t="shared" si="4"/>
        <v>71.13116466666672</v>
      </c>
      <c r="V9" s="53">
        <f t="shared" si="16"/>
        <v>8.89139558333334</v>
      </c>
      <c r="W9" s="55"/>
      <c r="X9" s="42">
        <f t="shared" si="5"/>
        <v>3</v>
      </c>
      <c r="Y9" s="56" t="str">
        <f t="shared" si="6"/>
        <v>Calla G Guillermina</v>
      </c>
      <c r="Z9" s="57">
        <f t="shared" si="7"/>
        <v>326.12813733333223</v>
      </c>
      <c r="AA9" s="58">
        <f>1775+100+125</f>
        <v>2000</v>
      </c>
      <c r="AB9" s="59">
        <f t="shared" si="8"/>
        <v>2246.6695833333333</v>
      </c>
      <c r="AC9" s="60">
        <f t="shared" si="9"/>
        <v>83.20998456790123</v>
      </c>
      <c r="AD9" s="61">
        <f t="shared" si="10"/>
        <v>10.401248070987654</v>
      </c>
      <c r="AF9" s="62">
        <f t="shared" si="11"/>
        <v>1.5098524876543158</v>
      </c>
      <c r="AG9" s="63"/>
      <c r="AH9" s="64"/>
      <c r="AI9" s="4"/>
    </row>
    <row r="10" spans="1:35">
      <c r="A10" s="65">
        <v>4</v>
      </c>
      <c r="B10" s="66" t="s">
        <v>33</v>
      </c>
      <c r="C10" s="68" t="s">
        <v>34</v>
      </c>
      <c r="D10" s="45">
        <f t="shared" si="0"/>
        <v>1167.6666666666677</v>
      </c>
      <c r="E10" s="67"/>
      <c r="F10" s="67"/>
      <c r="G10" s="67"/>
      <c r="H10" s="46">
        <f t="shared" si="12"/>
        <v>1167.6666666666677</v>
      </c>
      <c r="I10" s="69">
        <f>H10*$E$68</f>
        <v>132.76370000000011</v>
      </c>
      <c r="J10" s="47">
        <f t="shared" si="13"/>
        <v>1034.9029666666675</v>
      </c>
      <c r="K10" s="48">
        <f t="shared" si="17"/>
        <v>113.49720000000011</v>
      </c>
      <c r="L10" s="45">
        <f t="shared" si="1"/>
        <v>194.53326666666683</v>
      </c>
      <c r="M10" s="45">
        <f>L10*6%</f>
        <v>11.671996000000009</v>
      </c>
      <c r="N10" s="49">
        <f t="shared" si="18"/>
        <v>339</v>
      </c>
      <c r="O10" s="49">
        <f t="shared" si="2"/>
        <v>70.060000000000059</v>
      </c>
      <c r="P10" s="48">
        <f t="shared" si="19"/>
        <v>8.6804340000000071</v>
      </c>
      <c r="Q10" s="48">
        <f t="shared" si="14"/>
        <v>7.8537260000000053</v>
      </c>
      <c r="R10" s="45">
        <f t="shared" si="20"/>
        <v>7.5781566666666738</v>
      </c>
      <c r="S10" s="50">
        <f t="shared" si="15"/>
        <v>1693.6054293333343</v>
      </c>
      <c r="T10" s="51">
        <f t="shared" si="3"/>
        <v>1920.5414460000013</v>
      </c>
      <c r="U10" s="52">
        <f t="shared" si="4"/>
        <v>71.13116466666672</v>
      </c>
      <c r="V10" s="53">
        <f>+U10/8</f>
        <v>8.89139558333334</v>
      </c>
      <c r="W10" s="55"/>
      <c r="X10" s="42">
        <f t="shared" si="5"/>
        <v>4</v>
      </c>
      <c r="Y10" s="56" t="str">
        <f t="shared" si="6"/>
        <v>Challco Laime, Gilberta</v>
      </c>
      <c r="Z10" s="57">
        <f t="shared" si="7"/>
        <v>306.39457066666569</v>
      </c>
      <c r="AA10" s="58">
        <f>1775+100+125</f>
        <v>2000</v>
      </c>
      <c r="AB10" s="59">
        <f t="shared" si="8"/>
        <v>2226.936016666667</v>
      </c>
      <c r="AC10" s="60">
        <f t="shared" si="9"/>
        <v>82.479111728395068</v>
      </c>
      <c r="AD10" s="61">
        <f t="shared" si="10"/>
        <v>10.309888966049384</v>
      </c>
      <c r="AF10" s="62">
        <f t="shared" si="11"/>
        <v>1.4184933827160449</v>
      </c>
      <c r="AG10" s="63"/>
      <c r="AH10" s="64"/>
      <c r="AI10" s="4"/>
    </row>
    <row r="11" spans="1:35">
      <c r="A11" s="42">
        <v>5</v>
      </c>
      <c r="B11" s="66" t="s">
        <v>35</v>
      </c>
      <c r="C11" s="70" t="s">
        <v>36</v>
      </c>
      <c r="D11" s="45">
        <f t="shared" si="0"/>
        <v>1167.6666666666677</v>
      </c>
      <c r="E11" s="67"/>
      <c r="F11" s="67">
        <v>113</v>
      </c>
      <c r="G11" s="67"/>
      <c r="H11" s="46">
        <f t="shared" si="12"/>
        <v>1280.6666666666677</v>
      </c>
      <c r="I11" s="71">
        <f>H11*$E$70</f>
        <v>145.6118000000001</v>
      </c>
      <c r="J11" s="47">
        <f t="shared" si="13"/>
        <v>1135.0548666666675</v>
      </c>
      <c r="K11" s="48">
        <f t="shared" si="17"/>
        <v>124.4808000000001</v>
      </c>
      <c r="L11" s="45">
        <f t="shared" si="1"/>
        <v>213.35906666666682</v>
      </c>
      <c r="M11" s="45">
        <f t="shared" ref="M11:M16" si="21">L11*6%</f>
        <v>12.801544000000009</v>
      </c>
      <c r="N11" s="49">
        <f t="shared" si="18"/>
        <v>339</v>
      </c>
      <c r="O11" s="49">
        <f t="shared" si="2"/>
        <v>76.84000000000006</v>
      </c>
      <c r="P11" s="48">
        <f t="shared" si="19"/>
        <v>9.5204760000000075</v>
      </c>
      <c r="Q11" s="48">
        <f t="shared" si="14"/>
        <v>8.6137640000000051</v>
      </c>
      <c r="R11" s="45">
        <f t="shared" si="20"/>
        <v>8.3115266666666745</v>
      </c>
      <c r="S11" s="50">
        <f t="shared" si="15"/>
        <v>1824.6962773333344</v>
      </c>
      <c r="T11" s="51">
        <f t="shared" si="3"/>
        <v>2073.5938440000018</v>
      </c>
      <c r="U11" s="52">
        <f t="shared" si="4"/>
        <v>76.799772000000061</v>
      </c>
      <c r="V11" s="53">
        <f t="shared" si="16"/>
        <v>9.5999715000000077</v>
      </c>
      <c r="W11" s="55"/>
      <c r="X11" s="42">
        <f t="shared" si="5"/>
        <v>5</v>
      </c>
      <c r="Y11" s="56" t="str">
        <f t="shared" si="6"/>
        <v>Choquehuayta Huallpa, Estefania</v>
      </c>
      <c r="Z11" s="57">
        <f t="shared" si="7"/>
        <v>175.30372266666564</v>
      </c>
      <c r="AA11" s="58">
        <f>1775+100+125</f>
        <v>2000</v>
      </c>
      <c r="AB11" s="59">
        <f t="shared" si="8"/>
        <v>2248.8975666666674</v>
      </c>
      <c r="AC11" s="60">
        <f t="shared" si="9"/>
        <v>83.292502469135826</v>
      </c>
      <c r="AD11" s="61">
        <f t="shared" si="10"/>
        <v>10.411562808641978</v>
      </c>
      <c r="AF11" s="62">
        <f t="shared" si="11"/>
        <v>0.81159130864197049</v>
      </c>
      <c r="AG11" s="63"/>
      <c r="AH11" s="64"/>
      <c r="AI11" s="4"/>
    </row>
    <row r="12" spans="1:35">
      <c r="A12" s="65">
        <v>6</v>
      </c>
      <c r="B12" s="72" t="s">
        <v>37</v>
      </c>
      <c r="C12" s="73" t="s">
        <v>38</v>
      </c>
      <c r="D12" s="45">
        <f t="shared" si="0"/>
        <v>1167.6666666666677</v>
      </c>
      <c r="E12" s="67"/>
      <c r="F12" s="67"/>
      <c r="G12" s="67"/>
      <c r="H12" s="46">
        <f t="shared" si="12"/>
        <v>1167.6666666666677</v>
      </c>
      <c r="I12" s="74">
        <f>H12*$E$69</f>
        <v>151.79666666666679</v>
      </c>
      <c r="J12" s="47">
        <f t="shared" si="13"/>
        <v>1015.8700000000008</v>
      </c>
      <c r="K12" s="48">
        <f t="shared" si="17"/>
        <v>113.49720000000011</v>
      </c>
      <c r="L12" s="45">
        <f t="shared" si="1"/>
        <v>194.53326666666683</v>
      </c>
      <c r="M12" s="45">
        <f t="shared" si="21"/>
        <v>11.671996000000009</v>
      </c>
      <c r="N12" s="49">
        <f t="shared" si="18"/>
        <v>339</v>
      </c>
      <c r="O12" s="49">
        <f t="shared" si="2"/>
        <v>70.060000000000059</v>
      </c>
      <c r="P12" s="48">
        <f t="shared" si="19"/>
        <v>8.6804340000000071</v>
      </c>
      <c r="Q12" s="48">
        <f t="shared" si="14"/>
        <v>7.8537260000000053</v>
      </c>
      <c r="R12" s="45">
        <f t="shared" si="20"/>
        <v>7.5781566666666738</v>
      </c>
      <c r="S12" s="50">
        <f t="shared" si="15"/>
        <v>1674.5724626666677</v>
      </c>
      <c r="T12" s="51">
        <f t="shared" si="3"/>
        <v>1920.5414460000013</v>
      </c>
      <c r="U12" s="52">
        <f t="shared" si="4"/>
        <v>71.13116466666672</v>
      </c>
      <c r="V12" s="53">
        <f t="shared" si="16"/>
        <v>8.89139558333334</v>
      </c>
      <c r="W12" s="55"/>
      <c r="X12" s="42">
        <f t="shared" si="5"/>
        <v>6</v>
      </c>
      <c r="Y12" s="56" t="str">
        <f t="shared" si="6"/>
        <v>Idme Huaraccallo, Gladis</v>
      </c>
      <c r="Z12" s="57">
        <f t="shared" si="7"/>
        <v>325.42753733333234</v>
      </c>
      <c r="AA12" s="58">
        <f>1775+100+125</f>
        <v>2000</v>
      </c>
      <c r="AB12" s="59">
        <f t="shared" si="8"/>
        <v>2245.9689833333337</v>
      </c>
      <c r="AC12" s="60">
        <f t="shared" si="9"/>
        <v>83.184036419753099</v>
      </c>
      <c r="AD12" s="61">
        <f t="shared" si="10"/>
        <v>10.398004552469137</v>
      </c>
      <c r="AF12" s="62">
        <f t="shared" si="11"/>
        <v>1.5066089691357978</v>
      </c>
      <c r="AG12" s="63"/>
      <c r="AH12" s="64"/>
      <c r="AI12" s="4"/>
    </row>
    <row r="13" spans="1:35">
      <c r="A13" s="42">
        <v>7</v>
      </c>
      <c r="B13" s="72" t="s">
        <v>39</v>
      </c>
      <c r="C13" s="75" t="s">
        <v>40</v>
      </c>
      <c r="D13" s="45">
        <f t="shared" si="0"/>
        <v>1167.6666666666677</v>
      </c>
      <c r="E13" s="67"/>
      <c r="F13" s="67"/>
      <c r="G13" s="67"/>
      <c r="H13" s="46">
        <f t="shared" si="12"/>
        <v>1167.6666666666677</v>
      </c>
      <c r="I13" s="76">
        <f>H13*$D$64</f>
        <v>150.86253333333346</v>
      </c>
      <c r="J13" s="47">
        <f t="shared" si="13"/>
        <v>1016.8041333333342</v>
      </c>
      <c r="K13" s="48">
        <f t="shared" si="17"/>
        <v>113.49720000000011</v>
      </c>
      <c r="L13" s="45">
        <f t="shared" si="1"/>
        <v>194.53326666666683</v>
      </c>
      <c r="M13" s="45">
        <f>L13*6%</f>
        <v>11.671996000000009</v>
      </c>
      <c r="N13" s="49">
        <f t="shared" si="18"/>
        <v>339</v>
      </c>
      <c r="O13" s="49">
        <f t="shared" si="2"/>
        <v>70.060000000000059</v>
      </c>
      <c r="P13" s="48">
        <f t="shared" si="19"/>
        <v>8.6804340000000071</v>
      </c>
      <c r="Q13" s="48">
        <f t="shared" si="14"/>
        <v>7.8537260000000053</v>
      </c>
      <c r="R13" s="45">
        <f t="shared" si="20"/>
        <v>7.5781566666666738</v>
      </c>
      <c r="S13" s="50">
        <f t="shared" si="15"/>
        <v>1675.5065960000011</v>
      </c>
      <c r="T13" s="51">
        <f t="shared" si="3"/>
        <v>1920.5414460000013</v>
      </c>
      <c r="U13" s="52">
        <f t="shared" si="4"/>
        <v>71.13116466666672</v>
      </c>
      <c r="V13" s="53">
        <f t="shared" si="16"/>
        <v>8.89139558333334</v>
      </c>
      <c r="W13" s="55"/>
      <c r="X13" s="42">
        <f t="shared" si="5"/>
        <v>7</v>
      </c>
      <c r="Y13" s="56" t="str">
        <f t="shared" si="6"/>
        <v>Jacha Gomez, Flavia</v>
      </c>
      <c r="Z13" s="57">
        <f t="shared" si="7"/>
        <v>474.49340399999892</v>
      </c>
      <c r="AA13" s="58">
        <f>1925+100+125</f>
        <v>2150</v>
      </c>
      <c r="AB13" s="59">
        <f t="shared" si="8"/>
        <v>2395.03485</v>
      </c>
      <c r="AC13" s="60">
        <f t="shared" si="9"/>
        <v>88.704994444444438</v>
      </c>
      <c r="AD13" s="61">
        <f t="shared" si="10"/>
        <v>11.088124305555555</v>
      </c>
      <c r="AF13" s="62">
        <f t="shared" si="11"/>
        <v>2.1967287222222174</v>
      </c>
      <c r="AG13" s="63"/>
      <c r="AH13" s="64"/>
      <c r="AI13" s="4"/>
    </row>
    <row r="14" spans="1:35">
      <c r="A14" s="65">
        <v>8</v>
      </c>
      <c r="B14" s="66" t="s">
        <v>41</v>
      </c>
      <c r="C14" s="44" t="s">
        <v>30</v>
      </c>
      <c r="D14" s="45">
        <f t="shared" si="0"/>
        <v>1167.6666666666677</v>
      </c>
      <c r="E14" s="46"/>
      <c r="F14" s="67">
        <v>113</v>
      </c>
      <c r="G14" s="67"/>
      <c r="H14" s="46">
        <f t="shared" si="12"/>
        <v>1280.6666666666677</v>
      </c>
      <c r="I14" s="47">
        <f>H14*$D$66</f>
        <v>167.25506666666678</v>
      </c>
      <c r="J14" s="47">
        <f t="shared" si="13"/>
        <v>1113.4116000000008</v>
      </c>
      <c r="K14" s="48">
        <f t="shared" si="17"/>
        <v>124.4808000000001</v>
      </c>
      <c r="L14" s="45">
        <f t="shared" si="1"/>
        <v>213.35906666666682</v>
      </c>
      <c r="M14" s="45">
        <f t="shared" si="21"/>
        <v>12.801544000000009</v>
      </c>
      <c r="N14" s="49">
        <f t="shared" si="18"/>
        <v>339</v>
      </c>
      <c r="O14" s="49">
        <f t="shared" si="2"/>
        <v>76.84000000000006</v>
      </c>
      <c r="P14" s="48">
        <f t="shared" si="19"/>
        <v>9.5204760000000075</v>
      </c>
      <c r="Q14" s="48">
        <f t="shared" si="14"/>
        <v>8.6137640000000051</v>
      </c>
      <c r="R14" s="45">
        <f t="shared" si="20"/>
        <v>8.3115266666666745</v>
      </c>
      <c r="S14" s="50">
        <f t="shared" si="15"/>
        <v>1803.0530106666677</v>
      </c>
      <c r="T14" s="51">
        <f t="shared" si="3"/>
        <v>2073.5938440000018</v>
      </c>
      <c r="U14" s="52">
        <f t="shared" si="4"/>
        <v>76.799772000000061</v>
      </c>
      <c r="V14" s="53">
        <f t="shared" si="16"/>
        <v>9.5999715000000077</v>
      </c>
      <c r="W14" s="55"/>
      <c r="X14" s="42">
        <f t="shared" si="5"/>
        <v>8</v>
      </c>
      <c r="Y14" s="56" t="str">
        <f t="shared" si="6"/>
        <v>Lerma Yanarico Elena</v>
      </c>
      <c r="Z14" s="57">
        <f t="shared" si="7"/>
        <v>196.94698933333234</v>
      </c>
      <c r="AA14" s="58">
        <f t="shared" ref="AA14:AA21" si="22">1775+100+125</f>
        <v>2000</v>
      </c>
      <c r="AB14" s="59">
        <f t="shared" si="8"/>
        <v>2270.5408333333344</v>
      </c>
      <c r="AC14" s="60">
        <f t="shared" si="9"/>
        <v>84.094104938271641</v>
      </c>
      <c r="AD14" s="61">
        <f t="shared" si="10"/>
        <v>10.511763117283955</v>
      </c>
      <c r="AF14" s="62">
        <f t="shared" si="11"/>
        <v>0.91179161728394598</v>
      </c>
      <c r="AG14" s="63"/>
      <c r="AH14" s="64"/>
      <c r="AI14" s="4"/>
    </row>
    <row r="15" spans="1:35">
      <c r="A15" s="42">
        <v>9</v>
      </c>
      <c r="B15" s="66" t="s">
        <v>42</v>
      </c>
      <c r="C15" s="77" t="s">
        <v>43</v>
      </c>
      <c r="D15" s="45">
        <f t="shared" si="0"/>
        <v>1167.6666666666677</v>
      </c>
      <c r="E15" s="46"/>
      <c r="F15" s="67">
        <v>113</v>
      </c>
      <c r="G15" s="67"/>
      <c r="H15" s="46">
        <f t="shared" si="12"/>
        <v>1280.6666666666677</v>
      </c>
      <c r="I15" s="78">
        <f>H15*$E$71</f>
        <v>145.6118000000001</v>
      </c>
      <c r="J15" s="47">
        <f t="shared" si="13"/>
        <v>1135.0548666666675</v>
      </c>
      <c r="K15" s="48">
        <f t="shared" si="17"/>
        <v>124.4808000000001</v>
      </c>
      <c r="L15" s="45">
        <f t="shared" si="1"/>
        <v>213.35906666666682</v>
      </c>
      <c r="M15" s="45">
        <f t="shared" si="21"/>
        <v>12.801544000000009</v>
      </c>
      <c r="N15" s="49">
        <f t="shared" si="18"/>
        <v>339</v>
      </c>
      <c r="O15" s="49">
        <f t="shared" si="2"/>
        <v>76.84000000000006</v>
      </c>
      <c r="P15" s="48">
        <f t="shared" si="19"/>
        <v>9.5204760000000075</v>
      </c>
      <c r="Q15" s="48">
        <f t="shared" si="14"/>
        <v>8.6137640000000051</v>
      </c>
      <c r="R15" s="45">
        <f t="shared" si="20"/>
        <v>8.3115266666666745</v>
      </c>
      <c r="S15" s="50">
        <f t="shared" si="15"/>
        <v>1824.6962773333344</v>
      </c>
      <c r="T15" s="51">
        <f t="shared" si="3"/>
        <v>2073.5938440000018</v>
      </c>
      <c r="U15" s="52">
        <f t="shared" si="4"/>
        <v>76.799772000000061</v>
      </c>
      <c r="V15" s="53">
        <f t="shared" si="16"/>
        <v>9.5999715000000077</v>
      </c>
      <c r="W15" s="55"/>
      <c r="X15" s="42">
        <f t="shared" si="5"/>
        <v>9</v>
      </c>
      <c r="Y15" s="56" t="str">
        <f t="shared" si="6"/>
        <v>Machaca Calcina, Benedicta</v>
      </c>
      <c r="Z15" s="57">
        <f t="shared" si="7"/>
        <v>175.30372266666564</v>
      </c>
      <c r="AA15" s="58">
        <f t="shared" si="22"/>
        <v>2000</v>
      </c>
      <c r="AB15" s="59">
        <f t="shared" si="8"/>
        <v>2248.8975666666674</v>
      </c>
      <c r="AC15" s="60">
        <f t="shared" si="9"/>
        <v>83.292502469135826</v>
      </c>
      <c r="AD15" s="61">
        <f t="shared" si="10"/>
        <v>10.411562808641978</v>
      </c>
      <c r="AF15" s="62">
        <f t="shared" si="11"/>
        <v>0.81159130864197049</v>
      </c>
      <c r="AG15" s="63"/>
      <c r="AH15" s="64"/>
      <c r="AI15" s="4"/>
    </row>
    <row r="16" spans="1:35">
      <c r="A16" s="65">
        <v>10</v>
      </c>
      <c r="B16" s="66" t="s">
        <v>44</v>
      </c>
      <c r="C16" s="75" t="s">
        <v>40</v>
      </c>
      <c r="D16" s="45">
        <f t="shared" si="0"/>
        <v>1167.6666666666677</v>
      </c>
      <c r="E16" s="67"/>
      <c r="F16" s="67">
        <v>113</v>
      </c>
      <c r="G16" s="67"/>
      <c r="H16" s="46">
        <f t="shared" si="12"/>
        <v>1280.6666666666677</v>
      </c>
      <c r="I16" s="76">
        <f>H16*$D$64</f>
        <v>165.46213333333347</v>
      </c>
      <c r="J16" s="47">
        <f t="shared" si="13"/>
        <v>1115.2045333333342</v>
      </c>
      <c r="K16" s="48">
        <f t="shared" si="17"/>
        <v>124.4808000000001</v>
      </c>
      <c r="L16" s="45">
        <f t="shared" si="1"/>
        <v>213.35906666666682</v>
      </c>
      <c r="M16" s="45">
        <f t="shared" si="21"/>
        <v>12.801544000000009</v>
      </c>
      <c r="N16" s="49">
        <f t="shared" si="18"/>
        <v>339</v>
      </c>
      <c r="O16" s="49">
        <f t="shared" si="2"/>
        <v>76.84000000000006</v>
      </c>
      <c r="P16" s="48">
        <f t="shared" si="19"/>
        <v>9.5204760000000075</v>
      </c>
      <c r="Q16" s="48">
        <f t="shared" si="14"/>
        <v>8.6137640000000051</v>
      </c>
      <c r="R16" s="45">
        <f t="shared" si="20"/>
        <v>8.3115266666666745</v>
      </c>
      <c r="S16" s="50">
        <f t="shared" si="15"/>
        <v>1804.8459440000011</v>
      </c>
      <c r="T16" s="51">
        <f t="shared" si="3"/>
        <v>2073.5938440000018</v>
      </c>
      <c r="U16" s="52">
        <f t="shared" si="4"/>
        <v>76.799772000000061</v>
      </c>
      <c r="V16" s="53">
        <f t="shared" si="16"/>
        <v>9.5999715000000077</v>
      </c>
      <c r="W16" s="55"/>
      <c r="X16" s="42">
        <f t="shared" si="5"/>
        <v>10</v>
      </c>
      <c r="Y16" s="56" t="str">
        <f t="shared" si="6"/>
        <v>Mamani Hancco,  Elsa Teresa</v>
      </c>
      <c r="Z16" s="57">
        <f t="shared" si="7"/>
        <v>195.15405599999895</v>
      </c>
      <c r="AA16" s="58">
        <f t="shared" si="22"/>
        <v>2000</v>
      </c>
      <c r="AB16" s="59">
        <f t="shared" si="8"/>
        <v>2268.7479000000008</v>
      </c>
      <c r="AC16" s="60">
        <f t="shared" si="9"/>
        <v>84.027700000000024</v>
      </c>
      <c r="AD16" s="61">
        <f t="shared" si="10"/>
        <v>10.503462500000003</v>
      </c>
      <c r="AF16" s="62">
        <f t="shared" si="11"/>
        <v>0.90349099999999516</v>
      </c>
      <c r="AG16" s="63"/>
      <c r="AH16" s="64"/>
      <c r="AI16" s="4"/>
    </row>
    <row r="17" spans="1:35">
      <c r="A17" s="42">
        <v>11</v>
      </c>
      <c r="B17" s="66" t="s">
        <v>45</v>
      </c>
      <c r="C17" s="68" t="s">
        <v>34</v>
      </c>
      <c r="D17" s="45">
        <f t="shared" si="0"/>
        <v>1167.6666666666677</v>
      </c>
      <c r="E17" s="67"/>
      <c r="F17" s="67"/>
      <c r="G17" s="67"/>
      <c r="H17" s="46">
        <f t="shared" si="12"/>
        <v>1167.6666666666677</v>
      </c>
      <c r="I17" s="69">
        <f>H17*$E$68</f>
        <v>132.76370000000011</v>
      </c>
      <c r="J17" s="47">
        <f t="shared" si="13"/>
        <v>1034.9029666666675</v>
      </c>
      <c r="K17" s="48">
        <f t="shared" si="17"/>
        <v>113.49720000000011</v>
      </c>
      <c r="L17" s="45">
        <f t="shared" si="1"/>
        <v>194.53326666666683</v>
      </c>
      <c r="M17" s="45">
        <f>L17*6%</f>
        <v>11.671996000000009</v>
      </c>
      <c r="N17" s="49">
        <f t="shared" si="18"/>
        <v>339</v>
      </c>
      <c r="O17" s="49">
        <f t="shared" si="2"/>
        <v>70.060000000000059</v>
      </c>
      <c r="P17" s="48">
        <f>((H17*(0.63%))*1.18)</f>
        <v>8.6804340000000071</v>
      </c>
      <c r="Q17" s="48">
        <f t="shared" si="14"/>
        <v>7.8537260000000053</v>
      </c>
      <c r="R17" s="45">
        <f t="shared" si="20"/>
        <v>7.5781566666666738</v>
      </c>
      <c r="S17" s="50">
        <f t="shared" si="15"/>
        <v>1693.6054293333343</v>
      </c>
      <c r="T17" s="51">
        <f t="shared" si="3"/>
        <v>1920.5414460000013</v>
      </c>
      <c r="U17" s="52">
        <f t="shared" si="4"/>
        <v>71.13116466666672</v>
      </c>
      <c r="V17" s="53">
        <f t="shared" si="16"/>
        <v>8.89139558333334</v>
      </c>
      <c r="W17" s="55"/>
      <c r="X17" s="42">
        <f t="shared" si="5"/>
        <v>11</v>
      </c>
      <c r="Y17" s="56" t="str">
        <f t="shared" si="6"/>
        <v>Mamani Itusaca de Perca Guzmila</v>
      </c>
      <c r="Z17" s="57">
        <f t="shared" si="7"/>
        <v>306.39457066666569</v>
      </c>
      <c r="AA17" s="58">
        <f t="shared" si="22"/>
        <v>2000</v>
      </c>
      <c r="AB17" s="59">
        <f t="shared" si="8"/>
        <v>2226.936016666667</v>
      </c>
      <c r="AC17" s="60">
        <f t="shared" si="9"/>
        <v>82.479111728395068</v>
      </c>
      <c r="AD17" s="61">
        <f t="shared" si="10"/>
        <v>10.309888966049384</v>
      </c>
      <c r="AF17" s="62">
        <f t="shared" si="11"/>
        <v>1.4184933827160449</v>
      </c>
      <c r="AG17" s="63"/>
      <c r="AH17" s="64"/>
      <c r="AI17" s="4"/>
    </row>
    <row r="18" spans="1:35">
      <c r="A18" s="65">
        <v>12</v>
      </c>
      <c r="B18" s="66" t="s">
        <v>46</v>
      </c>
      <c r="C18" s="77" t="s">
        <v>43</v>
      </c>
      <c r="D18" s="45">
        <f t="shared" si="0"/>
        <v>1167.6666666666677</v>
      </c>
      <c r="E18" s="67"/>
      <c r="F18" s="67"/>
      <c r="G18" s="67"/>
      <c r="H18" s="46">
        <f t="shared" si="12"/>
        <v>1167.6666666666677</v>
      </c>
      <c r="I18" s="78">
        <f>H18*$E$71</f>
        <v>132.76370000000011</v>
      </c>
      <c r="J18" s="47">
        <f t="shared" si="13"/>
        <v>1034.9029666666675</v>
      </c>
      <c r="K18" s="48">
        <f>((D18+E18+F18)*(9.72%))</f>
        <v>113.49720000000011</v>
      </c>
      <c r="L18" s="45">
        <f>(D18+E18+F18)*(16.66%)</f>
        <v>194.53326666666683</v>
      </c>
      <c r="M18" s="45">
        <f>L18*6%</f>
        <v>11.671996000000009</v>
      </c>
      <c r="N18" s="49">
        <f>(1130*30%)/(30)*30</f>
        <v>339</v>
      </c>
      <c r="O18" s="49">
        <f>H18*6%</f>
        <v>70.060000000000059</v>
      </c>
      <c r="P18" s="48">
        <f>((H18*(0.63%))*1.18)</f>
        <v>8.6804340000000071</v>
      </c>
      <c r="Q18" s="48">
        <f t="shared" si="14"/>
        <v>7.8537260000000053</v>
      </c>
      <c r="R18" s="45">
        <f>(H18*(0.55%))*1.18</f>
        <v>7.5781566666666738</v>
      </c>
      <c r="S18" s="50">
        <f t="shared" si="15"/>
        <v>1693.6054293333343</v>
      </c>
      <c r="T18" s="51">
        <f t="shared" si="3"/>
        <v>1920.5414460000013</v>
      </c>
      <c r="U18" s="52">
        <f t="shared" si="4"/>
        <v>71.13116466666672</v>
      </c>
      <c r="V18" s="53">
        <f>+U18/8</f>
        <v>8.89139558333334</v>
      </c>
      <c r="W18" s="55"/>
      <c r="X18" s="42">
        <f t="shared" si="5"/>
        <v>12</v>
      </c>
      <c r="Y18" s="56" t="str">
        <f t="shared" si="6"/>
        <v>Mayta Coaquira Janet Venancia</v>
      </c>
      <c r="Z18" s="57">
        <f t="shared" si="7"/>
        <v>306.39457066666569</v>
      </c>
      <c r="AA18" s="58">
        <f t="shared" si="22"/>
        <v>2000</v>
      </c>
      <c r="AB18" s="59">
        <f t="shared" si="8"/>
        <v>2226.936016666667</v>
      </c>
      <c r="AC18" s="60">
        <f t="shared" si="9"/>
        <v>82.479111728395068</v>
      </c>
      <c r="AD18" s="61">
        <f>+AC18/8</f>
        <v>10.309888966049384</v>
      </c>
      <c r="AF18" s="62">
        <f t="shared" si="11"/>
        <v>1.4184933827160449</v>
      </c>
      <c r="AG18" s="63"/>
      <c r="AH18" s="64"/>
      <c r="AI18" s="4"/>
    </row>
    <row r="19" spans="1:35">
      <c r="A19" s="42">
        <v>13</v>
      </c>
      <c r="B19" s="66" t="s">
        <v>47</v>
      </c>
      <c r="C19" s="70" t="s">
        <v>36</v>
      </c>
      <c r="D19" s="45">
        <f t="shared" si="0"/>
        <v>1167.6666666666677</v>
      </c>
      <c r="E19" s="67"/>
      <c r="F19" s="67"/>
      <c r="G19" s="67"/>
      <c r="H19" s="46">
        <f t="shared" si="12"/>
        <v>1167.6666666666677</v>
      </c>
      <c r="I19" s="71">
        <f>H19*$E$70</f>
        <v>132.76370000000011</v>
      </c>
      <c r="J19" s="47">
        <f t="shared" si="13"/>
        <v>1034.9029666666675</v>
      </c>
      <c r="K19" s="48">
        <f t="shared" si="17"/>
        <v>113.49720000000011</v>
      </c>
      <c r="L19" s="45">
        <f t="shared" si="1"/>
        <v>194.53326666666683</v>
      </c>
      <c r="M19" s="45">
        <f t="shared" ref="M19:M53" si="23">L19*6%</f>
        <v>11.671996000000009</v>
      </c>
      <c r="N19" s="49">
        <f t="shared" si="18"/>
        <v>339</v>
      </c>
      <c r="O19" s="49">
        <f t="shared" si="2"/>
        <v>70.060000000000059</v>
      </c>
      <c r="P19" s="48">
        <f t="shared" si="19"/>
        <v>8.6804340000000071</v>
      </c>
      <c r="Q19" s="48">
        <f t="shared" si="14"/>
        <v>7.8537260000000053</v>
      </c>
      <c r="R19" s="45">
        <f t="shared" si="20"/>
        <v>7.5781566666666738</v>
      </c>
      <c r="S19" s="50">
        <f t="shared" si="15"/>
        <v>1693.6054293333343</v>
      </c>
      <c r="T19" s="51">
        <f t="shared" si="3"/>
        <v>1920.5414460000013</v>
      </c>
      <c r="U19" s="52">
        <f t="shared" si="4"/>
        <v>71.13116466666672</v>
      </c>
      <c r="V19" s="53">
        <f t="shared" si="16"/>
        <v>8.89139558333334</v>
      </c>
      <c r="W19" s="55"/>
      <c r="X19" s="42">
        <f t="shared" si="5"/>
        <v>13</v>
      </c>
      <c r="Y19" s="56" t="str">
        <f t="shared" si="6"/>
        <v>Parari Laura Teresa Lucy</v>
      </c>
      <c r="Z19" s="57">
        <f t="shared" si="7"/>
        <v>306.39457066666569</v>
      </c>
      <c r="AA19" s="58">
        <f t="shared" si="22"/>
        <v>2000</v>
      </c>
      <c r="AB19" s="59">
        <f t="shared" si="8"/>
        <v>2226.936016666667</v>
      </c>
      <c r="AC19" s="60">
        <f t="shared" si="9"/>
        <v>82.479111728395068</v>
      </c>
      <c r="AD19" s="61">
        <f t="shared" si="10"/>
        <v>10.309888966049384</v>
      </c>
      <c r="AF19" s="62">
        <f t="shared" si="11"/>
        <v>1.4184933827160449</v>
      </c>
      <c r="AG19" s="63"/>
      <c r="AH19" s="64"/>
      <c r="AI19" s="4"/>
    </row>
    <row r="20" spans="1:35">
      <c r="A20" s="65">
        <v>14</v>
      </c>
      <c r="B20" s="66" t="s">
        <v>48</v>
      </c>
      <c r="C20" s="79" t="s">
        <v>49</v>
      </c>
      <c r="D20" s="45">
        <f t="shared" si="0"/>
        <v>1167.6666666666677</v>
      </c>
      <c r="E20" s="67"/>
      <c r="F20" s="67"/>
      <c r="G20" s="67"/>
      <c r="H20" s="46">
        <f t="shared" si="12"/>
        <v>1167.6666666666677</v>
      </c>
      <c r="I20" s="80">
        <f>H20*$E$72</f>
        <v>132.76370000000011</v>
      </c>
      <c r="J20" s="47">
        <f t="shared" si="13"/>
        <v>1034.9029666666675</v>
      </c>
      <c r="K20" s="48">
        <f>((D20+E20+F20)*(9.72%))</f>
        <v>113.49720000000011</v>
      </c>
      <c r="L20" s="45">
        <f t="shared" si="1"/>
        <v>194.53326666666683</v>
      </c>
      <c r="M20" s="45">
        <f t="shared" si="23"/>
        <v>11.671996000000009</v>
      </c>
      <c r="N20" s="49">
        <f t="shared" si="18"/>
        <v>339</v>
      </c>
      <c r="O20" s="49">
        <f t="shared" si="2"/>
        <v>70.060000000000059</v>
      </c>
      <c r="P20" s="48">
        <f t="shared" si="19"/>
        <v>8.6804340000000071</v>
      </c>
      <c r="Q20" s="48">
        <f t="shared" si="14"/>
        <v>7.8537260000000053</v>
      </c>
      <c r="R20" s="45">
        <f t="shared" si="20"/>
        <v>7.5781566666666738</v>
      </c>
      <c r="S20" s="50">
        <f t="shared" si="15"/>
        <v>1693.6054293333343</v>
      </c>
      <c r="T20" s="51">
        <f t="shared" si="3"/>
        <v>1920.5414460000013</v>
      </c>
      <c r="U20" s="52">
        <f t="shared" si="4"/>
        <v>71.13116466666672</v>
      </c>
      <c r="V20" s="53">
        <f t="shared" si="16"/>
        <v>8.89139558333334</v>
      </c>
      <c r="W20" s="55"/>
      <c r="X20" s="42">
        <f t="shared" si="5"/>
        <v>14</v>
      </c>
      <c r="Y20" s="56" t="str">
        <f t="shared" si="6"/>
        <v>Pelinco Machaca, Monica</v>
      </c>
      <c r="Z20" s="57">
        <f t="shared" si="7"/>
        <v>306.39457066666569</v>
      </c>
      <c r="AA20" s="58">
        <f t="shared" si="22"/>
        <v>2000</v>
      </c>
      <c r="AB20" s="59">
        <f t="shared" si="8"/>
        <v>2226.936016666667</v>
      </c>
      <c r="AC20" s="60">
        <f t="shared" si="9"/>
        <v>82.479111728395068</v>
      </c>
      <c r="AD20" s="61">
        <f t="shared" si="10"/>
        <v>10.309888966049384</v>
      </c>
      <c r="AF20" s="62">
        <f t="shared" si="11"/>
        <v>1.4184933827160449</v>
      </c>
      <c r="AG20" s="63"/>
      <c r="AH20" s="64"/>
      <c r="AI20" s="4"/>
    </row>
    <row r="21" spans="1:35">
      <c r="A21" s="42">
        <v>15</v>
      </c>
      <c r="B21" s="66" t="s">
        <v>50</v>
      </c>
      <c r="C21" s="44" t="s">
        <v>30</v>
      </c>
      <c r="D21" s="45">
        <f t="shared" si="0"/>
        <v>1167.6666666666677</v>
      </c>
      <c r="E21" s="67"/>
      <c r="F21" s="67"/>
      <c r="G21" s="67"/>
      <c r="H21" s="46">
        <f t="shared" si="12"/>
        <v>1167.6666666666677</v>
      </c>
      <c r="I21" s="47">
        <f>H21*$D$66</f>
        <v>152.49726666666677</v>
      </c>
      <c r="J21" s="47">
        <f t="shared" si="13"/>
        <v>1015.1694000000009</v>
      </c>
      <c r="K21" s="48">
        <f t="shared" si="17"/>
        <v>113.49720000000011</v>
      </c>
      <c r="L21" s="45">
        <f t="shared" si="1"/>
        <v>194.53326666666683</v>
      </c>
      <c r="M21" s="45">
        <f t="shared" si="23"/>
        <v>11.671996000000009</v>
      </c>
      <c r="N21" s="49">
        <f t="shared" si="18"/>
        <v>339</v>
      </c>
      <c r="O21" s="49">
        <f>H21*6%</f>
        <v>70.060000000000059</v>
      </c>
      <c r="P21" s="48">
        <f t="shared" si="19"/>
        <v>8.6804340000000071</v>
      </c>
      <c r="Q21" s="48">
        <f t="shared" si="14"/>
        <v>7.8537260000000053</v>
      </c>
      <c r="R21" s="45">
        <f t="shared" si="20"/>
        <v>7.5781566666666738</v>
      </c>
      <c r="S21" s="50">
        <f t="shared" si="15"/>
        <v>1673.8718626666678</v>
      </c>
      <c r="T21" s="51">
        <f t="shared" si="3"/>
        <v>1920.5414460000013</v>
      </c>
      <c r="U21" s="52">
        <f t="shared" si="4"/>
        <v>71.13116466666672</v>
      </c>
      <c r="V21" s="53">
        <f t="shared" si="16"/>
        <v>8.89139558333334</v>
      </c>
      <c r="W21" s="55"/>
      <c r="X21" s="42">
        <f t="shared" si="5"/>
        <v>15</v>
      </c>
      <c r="Y21" s="56" t="str">
        <f t="shared" si="6"/>
        <v>Quispe Pacco Obita</v>
      </c>
      <c r="Z21" s="57">
        <f t="shared" si="7"/>
        <v>326.12813733333223</v>
      </c>
      <c r="AA21" s="58">
        <f t="shared" si="22"/>
        <v>2000</v>
      </c>
      <c r="AB21" s="59">
        <f t="shared" si="8"/>
        <v>2246.6695833333333</v>
      </c>
      <c r="AC21" s="60">
        <f t="shared" si="9"/>
        <v>83.20998456790123</v>
      </c>
      <c r="AD21" s="61">
        <f t="shared" si="10"/>
        <v>10.401248070987654</v>
      </c>
      <c r="AF21" s="62">
        <f t="shared" si="11"/>
        <v>1.5098524876543158</v>
      </c>
      <c r="AG21" s="63"/>
      <c r="AH21" s="64"/>
      <c r="AI21" s="4"/>
    </row>
    <row r="22" spans="1:35">
      <c r="A22" s="65">
        <v>16</v>
      </c>
      <c r="B22" s="81" t="s">
        <v>51</v>
      </c>
      <c r="C22" s="77" t="s">
        <v>43</v>
      </c>
      <c r="D22" s="45">
        <f t="shared" si="0"/>
        <v>1167.6666666666677</v>
      </c>
      <c r="E22" s="67"/>
      <c r="F22" s="67">
        <v>113</v>
      </c>
      <c r="G22" s="67">
        <v>103.58</v>
      </c>
      <c r="H22" s="46">
        <f t="shared" si="12"/>
        <v>1384.2466666666676</v>
      </c>
      <c r="I22" s="78">
        <f>H22*$E$71</f>
        <v>157.38884600000009</v>
      </c>
      <c r="J22" s="47">
        <f t="shared" si="13"/>
        <v>1226.8578206666675</v>
      </c>
      <c r="K22" s="48">
        <f>((D22+E22+F22)*(9.72%))</f>
        <v>124.4808000000001</v>
      </c>
      <c r="L22" s="45">
        <f>(D22+E22+F22)*(16.66%)</f>
        <v>213.35906666666682</v>
      </c>
      <c r="M22" s="45">
        <f>L22*6%</f>
        <v>12.801544000000009</v>
      </c>
      <c r="N22" s="49">
        <f>(1130*30%)/(30)*29</f>
        <v>327.70000000000005</v>
      </c>
      <c r="O22" s="49">
        <f>H22*6%</f>
        <v>83.054800000000057</v>
      </c>
      <c r="P22" s="48">
        <f>((H22*(0.63%))*1.18)</f>
        <v>10.290489720000007</v>
      </c>
      <c r="Q22" s="48">
        <f t="shared" si="14"/>
        <v>9.3104430800000042</v>
      </c>
      <c r="R22" s="45">
        <f>(H22*(0.55%))*1.18</f>
        <v>8.9837608666666728</v>
      </c>
      <c r="S22" s="50">
        <f t="shared" si="15"/>
        <v>1905.1992313333344</v>
      </c>
      <c r="T22" s="51">
        <f t="shared" si="3"/>
        <v>2174.2275710000013</v>
      </c>
      <c r="U22" s="52">
        <f t="shared" si="4"/>
        <v>80.526947074074116</v>
      </c>
      <c r="V22" s="53">
        <f t="shared" si="16"/>
        <v>10.065868384259264</v>
      </c>
      <c r="W22" s="55"/>
      <c r="X22" s="42">
        <f t="shared" si="5"/>
        <v>16</v>
      </c>
      <c r="Y22" s="82" t="str">
        <f t="shared" si="6"/>
        <v>Aragon Hancco  Delia Jesusa</v>
      </c>
      <c r="Z22" s="57">
        <f t="shared" si="7"/>
        <v>242.80076866666559</v>
      </c>
      <c r="AA22" s="58">
        <f>1923+100+125</f>
        <v>2148</v>
      </c>
      <c r="AB22" s="59">
        <f t="shared" si="8"/>
        <v>2417.0283396666669</v>
      </c>
      <c r="AC22" s="60">
        <f t="shared" si="9"/>
        <v>89.519568135802473</v>
      </c>
      <c r="AD22" s="61">
        <f t="shared" si="10"/>
        <v>11.189946016975309</v>
      </c>
      <c r="AF22" s="62">
        <f t="shared" si="11"/>
        <v>1.1240776327160444</v>
      </c>
      <c r="AG22" s="63"/>
      <c r="AH22" s="64"/>
      <c r="AI22" s="4"/>
    </row>
    <row r="23" spans="1:35">
      <c r="A23" s="42">
        <v>17</v>
      </c>
      <c r="B23" s="81" t="s">
        <v>52</v>
      </c>
      <c r="C23" s="77" t="s">
        <v>43</v>
      </c>
      <c r="D23" s="45">
        <f t="shared" si="0"/>
        <v>1167.6666666666677</v>
      </c>
      <c r="E23" s="46"/>
      <c r="F23" s="67"/>
      <c r="G23" s="67">
        <v>94.16</v>
      </c>
      <c r="H23" s="46">
        <f t="shared" si="12"/>
        <v>1261.8266666666677</v>
      </c>
      <c r="I23" s="78">
        <f>H23*$E$71</f>
        <v>143.46969200000012</v>
      </c>
      <c r="J23" s="47">
        <f t="shared" si="13"/>
        <v>1118.3569746666676</v>
      </c>
      <c r="K23" s="48">
        <f>((D23+E23+F23)*(9.72%))</f>
        <v>113.49720000000011</v>
      </c>
      <c r="L23" s="45">
        <f>(D23+E23+F23)*(16.66%)</f>
        <v>194.53326666666683</v>
      </c>
      <c r="M23" s="45">
        <f>L23*6%</f>
        <v>11.671996000000009</v>
      </c>
      <c r="N23" s="49">
        <f t="shared" si="18"/>
        <v>339</v>
      </c>
      <c r="O23" s="49">
        <f>H23*6%</f>
        <v>75.709600000000066</v>
      </c>
      <c r="P23" s="48">
        <f>((H23*(0.63%))*1.18)</f>
        <v>9.3804194400000078</v>
      </c>
      <c r="Q23" s="48">
        <f t="shared" si="14"/>
        <v>8.4870461600000056</v>
      </c>
      <c r="R23" s="45">
        <f>(H23*(0.55%))*1.18</f>
        <v>8.189255066666675</v>
      </c>
      <c r="S23" s="50">
        <f t="shared" si="15"/>
        <v>1777.0594373333345</v>
      </c>
      <c r="T23" s="51">
        <f t="shared" si="3"/>
        <v>2022.2954500000014</v>
      </c>
      <c r="U23" s="52">
        <f t="shared" si="4"/>
        <v>74.899831481481542</v>
      </c>
      <c r="V23" s="53">
        <f t="shared" si="16"/>
        <v>9.3624789351851927</v>
      </c>
      <c r="W23" s="55"/>
      <c r="X23" s="42">
        <f t="shared" si="5"/>
        <v>17</v>
      </c>
      <c r="Y23" s="82" t="str">
        <f t="shared" si="6"/>
        <v>Gonzales Aparicio Lisbeth</v>
      </c>
      <c r="Z23" s="57">
        <f t="shared" si="7"/>
        <v>370.94056266666553</v>
      </c>
      <c r="AA23" s="58">
        <f>1923+100+125</f>
        <v>2148</v>
      </c>
      <c r="AB23" s="59">
        <f t="shared" si="8"/>
        <v>2393.2360126666672</v>
      </c>
      <c r="AC23" s="60">
        <f t="shared" si="9"/>
        <v>88.638370839506194</v>
      </c>
      <c r="AD23" s="61">
        <f>+AC23/8</f>
        <v>11.079796354938274</v>
      </c>
      <c r="AF23" s="62">
        <f t="shared" si="11"/>
        <v>1.7173174197530812</v>
      </c>
      <c r="AG23" s="63"/>
      <c r="AH23" s="64"/>
      <c r="AI23" s="4"/>
    </row>
    <row r="24" spans="1:35">
      <c r="A24" s="65">
        <v>18</v>
      </c>
      <c r="B24" s="81" t="s">
        <v>53</v>
      </c>
      <c r="C24" s="70" t="s">
        <v>36</v>
      </c>
      <c r="D24" s="45">
        <f t="shared" si="0"/>
        <v>1167.6666666666677</v>
      </c>
      <c r="E24" s="67"/>
      <c r="F24" s="67">
        <v>113</v>
      </c>
      <c r="G24" s="67">
        <v>103.58</v>
      </c>
      <c r="H24" s="46">
        <f t="shared" si="12"/>
        <v>1384.2466666666676</v>
      </c>
      <c r="I24" s="71">
        <f>H24*$E$70</f>
        <v>157.38884600000009</v>
      </c>
      <c r="J24" s="47">
        <f t="shared" si="13"/>
        <v>1226.8578206666675</v>
      </c>
      <c r="K24" s="48">
        <f>((D24+E24+F24)*(9.72%))</f>
        <v>124.4808000000001</v>
      </c>
      <c r="L24" s="45">
        <f>(D24+E24+F24)*(16.66%)</f>
        <v>213.35906666666682</v>
      </c>
      <c r="M24" s="45">
        <f>L24*6%</f>
        <v>12.801544000000009</v>
      </c>
      <c r="N24" s="49">
        <f t="shared" si="18"/>
        <v>339</v>
      </c>
      <c r="O24" s="49">
        <f>H24*6%</f>
        <v>83.054800000000057</v>
      </c>
      <c r="P24" s="48">
        <f>((H24*(0.63%))*1.18)</f>
        <v>10.290489720000007</v>
      </c>
      <c r="Q24" s="48">
        <f t="shared" si="14"/>
        <v>9.3104430800000042</v>
      </c>
      <c r="R24" s="45">
        <f>(H24*(0.55%))*1.18</f>
        <v>8.9837608666666728</v>
      </c>
      <c r="S24" s="50">
        <f t="shared" si="15"/>
        <v>1916.4992313333344</v>
      </c>
      <c r="T24" s="51">
        <f t="shared" si="3"/>
        <v>2185.527571000001</v>
      </c>
      <c r="U24" s="52">
        <f t="shared" si="4"/>
        <v>80.945465592592626</v>
      </c>
      <c r="V24" s="53">
        <f t="shared" si="16"/>
        <v>10.118183199074078</v>
      </c>
      <c r="W24" s="55"/>
      <c r="X24" s="42">
        <f t="shared" si="5"/>
        <v>18</v>
      </c>
      <c r="Y24" s="82" t="str">
        <f t="shared" si="6"/>
        <v>Sánchez  Huanca María Luisa</v>
      </c>
      <c r="Z24" s="57">
        <f t="shared" si="7"/>
        <v>231.50076866666564</v>
      </c>
      <c r="AA24" s="58">
        <f>1923+100+125</f>
        <v>2148</v>
      </c>
      <c r="AB24" s="59">
        <f t="shared" si="8"/>
        <v>2417.0283396666664</v>
      </c>
      <c r="AC24" s="60">
        <f t="shared" si="9"/>
        <v>89.519568135802459</v>
      </c>
      <c r="AD24" s="61">
        <f t="shared" si="10"/>
        <v>11.189946016975307</v>
      </c>
      <c r="AF24" s="62">
        <f t="shared" si="11"/>
        <v>1.0717628179012297</v>
      </c>
      <c r="AG24" s="63"/>
      <c r="AH24" s="64"/>
      <c r="AI24" s="4"/>
    </row>
    <row r="25" spans="1:35">
      <c r="A25" s="42">
        <v>19</v>
      </c>
      <c r="B25" s="83" t="s">
        <v>54</v>
      </c>
      <c r="C25" s="44" t="s">
        <v>30</v>
      </c>
      <c r="D25" s="45">
        <f t="shared" si="0"/>
        <v>1167.6666666666677</v>
      </c>
      <c r="E25" s="67"/>
      <c r="F25" s="67">
        <v>113</v>
      </c>
      <c r="G25" s="67"/>
      <c r="H25" s="46">
        <f t="shared" si="12"/>
        <v>1280.6666666666677</v>
      </c>
      <c r="I25" s="47">
        <f>H25*$D$66</f>
        <v>167.25506666666678</v>
      </c>
      <c r="J25" s="47">
        <f t="shared" si="13"/>
        <v>1113.4116000000008</v>
      </c>
      <c r="K25" s="48">
        <f t="shared" si="17"/>
        <v>124.4808000000001</v>
      </c>
      <c r="L25" s="45">
        <f t="shared" ref="L25:L50" si="24">(D25+E25+F25)*(16.66%)</f>
        <v>213.35906666666682</v>
      </c>
      <c r="M25" s="45">
        <f t="shared" si="23"/>
        <v>12.801544000000009</v>
      </c>
      <c r="N25" s="49">
        <f t="shared" si="18"/>
        <v>339</v>
      </c>
      <c r="O25" s="49">
        <f t="shared" si="2"/>
        <v>76.84000000000006</v>
      </c>
      <c r="P25" s="48">
        <f t="shared" si="19"/>
        <v>9.5204760000000075</v>
      </c>
      <c r="Q25" s="48">
        <f t="shared" si="14"/>
        <v>8.6137640000000051</v>
      </c>
      <c r="R25" s="45">
        <f t="shared" si="20"/>
        <v>8.3115266666666745</v>
      </c>
      <c r="S25" s="50">
        <f t="shared" si="15"/>
        <v>1803.0530106666677</v>
      </c>
      <c r="T25" s="51">
        <f t="shared" si="3"/>
        <v>2073.5938440000018</v>
      </c>
      <c r="U25" s="52">
        <f t="shared" si="4"/>
        <v>76.799772000000061</v>
      </c>
      <c r="V25" s="53">
        <f t="shared" si="16"/>
        <v>9.5999715000000077</v>
      </c>
      <c r="W25" s="55"/>
      <c r="X25" s="42">
        <f t="shared" si="5"/>
        <v>19</v>
      </c>
      <c r="Y25" s="84" t="str">
        <f t="shared" si="6"/>
        <v>Alvarez Chavez, Richard</v>
      </c>
      <c r="Z25" s="57">
        <f t="shared" si="7"/>
        <v>386.94698933333234</v>
      </c>
      <c r="AA25" s="58">
        <f>1925+140+125</f>
        <v>2190</v>
      </c>
      <c r="AB25" s="59">
        <f t="shared" si="8"/>
        <v>2460.5408333333344</v>
      </c>
      <c r="AC25" s="60">
        <f t="shared" si="9"/>
        <v>91.13114197530868</v>
      </c>
      <c r="AD25" s="61">
        <f t="shared" si="10"/>
        <v>11.391392746913585</v>
      </c>
      <c r="AF25" s="62">
        <f t="shared" si="11"/>
        <v>1.7914212469135757</v>
      </c>
      <c r="AG25" s="63"/>
      <c r="AH25" s="64"/>
      <c r="AI25" s="4"/>
    </row>
    <row r="26" spans="1:35">
      <c r="A26" s="65">
        <v>20</v>
      </c>
      <c r="B26" s="83" t="s">
        <v>55</v>
      </c>
      <c r="C26" s="44" t="s">
        <v>30</v>
      </c>
      <c r="D26" s="45">
        <f t="shared" si="0"/>
        <v>1167.6666666666677</v>
      </c>
      <c r="E26" s="67"/>
      <c r="F26" s="67">
        <v>113</v>
      </c>
      <c r="G26" s="67"/>
      <c r="H26" s="46">
        <f t="shared" si="12"/>
        <v>1280.6666666666677</v>
      </c>
      <c r="I26" s="47">
        <f>H26*$D$66</f>
        <v>167.25506666666678</v>
      </c>
      <c r="J26" s="47">
        <f t="shared" si="13"/>
        <v>1113.4116000000008</v>
      </c>
      <c r="K26" s="48">
        <f t="shared" si="17"/>
        <v>124.4808000000001</v>
      </c>
      <c r="L26" s="45">
        <f t="shared" si="24"/>
        <v>213.35906666666682</v>
      </c>
      <c r="M26" s="45">
        <f t="shared" si="23"/>
        <v>12.801544000000009</v>
      </c>
      <c r="N26" s="49">
        <f t="shared" si="18"/>
        <v>339</v>
      </c>
      <c r="O26" s="49">
        <f>H26*6%</f>
        <v>76.84000000000006</v>
      </c>
      <c r="P26" s="48">
        <f t="shared" si="19"/>
        <v>9.5204760000000075</v>
      </c>
      <c r="Q26" s="48">
        <f t="shared" si="14"/>
        <v>8.6137640000000051</v>
      </c>
      <c r="R26" s="45">
        <f t="shared" si="20"/>
        <v>8.3115266666666745</v>
      </c>
      <c r="S26" s="50">
        <f t="shared" si="15"/>
        <v>1803.0530106666677</v>
      </c>
      <c r="T26" s="51">
        <f t="shared" si="3"/>
        <v>2073.5938440000018</v>
      </c>
      <c r="U26" s="52">
        <f t="shared" si="4"/>
        <v>76.799772000000061</v>
      </c>
      <c r="V26" s="53">
        <f t="shared" si="16"/>
        <v>9.5999715000000077</v>
      </c>
      <c r="W26" s="55"/>
      <c r="X26" s="42">
        <f t="shared" si="5"/>
        <v>20</v>
      </c>
      <c r="Y26" s="84" t="str">
        <f t="shared" si="6"/>
        <v>Aparicio Ch Claver</v>
      </c>
      <c r="Z26" s="57">
        <f t="shared" si="7"/>
        <v>386.94698933333234</v>
      </c>
      <c r="AA26" s="58">
        <f>1925+140+125</f>
        <v>2190</v>
      </c>
      <c r="AB26" s="59">
        <f t="shared" si="8"/>
        <v>2460.5408333333344</v>
      </c>
      <c r="AC26" s="60">
        <f t="shared" si="9"/>
        <v>91.13114197530868</v>
      </c>
      <c r="AD26" s="61">
        <f t="shared" si="10"/>
        <v>11.391392746913585</v>
      </c>
      <c r="AF26" s="62">
        <f t="shared" si="11"/>
        <v>1.7914212469135757</v>
      </c>
      <c r="AG26" s="63"/>
      <c r="AH26" s="64"/>
      <c r="AI26" s="4"/>
    </row>
    <row r="27" spans="1:35">
      <c r="A27" s="42">
        <v>21</v>
      </c>
      <c r="B27" s="83" t="s">
        <v>56</v>
      </c>
      <c r="C27" s="44" t="s">
        <v>30</v>
      </c>
      <c r="D27" s="45">
        <f t="shared" si="0"/>
        <v>1167.6666666666677</v>
      </c>
      <c r="E27" s="67"/>
      <c r="F27" s="67">
        <v>113</v>
      </c>
      <c r="G27" s="67"/>
      <c r="H27" s="46">
        <f t="shared" si="12"/>
        <v>1280.6666666666677</v>
      </c>
      <c r="I27" s="47">
        <f>H27*$D$66</f>
        <v>167.25506666666678</v>
      </c>
      <c r="J27" s="47">
        <f t="shared" si="13"/>
        <v>1113.4116000000008</v>
      </c>
      <c r="K27" s="48">
        <f t="shared" si="17"/>
        <v>124.4808000000001</v>
      </c>
      <c r="L27" s="45">
        <f t="shared" si="24"/>
        <v>213.35906666666682</v>
      </c>
      <c r="M27" s="45">
        <f t="shared" si="23"/>
        <v>12.801544000000009</v>
      </c>
      <c r="N27" s="49">
        <f t="shared" si="18"/>
        <v>339</v>
      </c>
      <c r="O27" s="49">
        <f t="shared" si="2"/>
        <v>76.84000000000006</v>
      </c>
      <c r="P27" s="48">
        <f t="shared" si="19"/>
        <v>9.5204760000000075</v>
      </c>
      <c r="Q27" s="48">
        <f t="shared" si="14"/>
        <v>8.6137640000000051</v>
      </c>
      <c r="R27" s="45">
        <f t="shared" si="20"/>
        <v>8.3115266666666745</v>
      </c>
      <c r="S27" s="50">
        <f t="shared" si="15"/>
        <v>1803.0530106666677</v>
      </c>
      <c r="T27" s="51">
        <f t="shared" si="3"/>
        <v>2073.5938440000018</v>
      </c>
      <c r="U27" s="52">
        <f t="shared" si="4"/>
        <v>76.799772000000061</v>
      </c>
      <c r="V27" s="53">
        <f t="shared" si="16"/>
        <v>9.5999715000000077</v>
      </c>
      <c r="W27" s="55"/>
      <c r="X27" s="42">
        <f t="shared" si="5"/>
        <v>21</v>
      </c>
      <c r="Y27" s="56" t="str">
        <f t="shared" si="6"/>
        <v>Aquino Gomez Carmelo</v>
      </c>
      <c r="Z27" s="57">
        <f t="shared" si="7"/>
        <v>246.94698933333234</v>
      </c>
      <c r="AA27" s="58">
        <f>1825+100+125</f>
        <v>2050</v>
      </c>
      <c r="AB27" s="59">
        <f t="shared" si="8"/>
        <v>2320.5408333333344</v>
      </c>
      <c r="AC27" s="60">
        <f t="shared" si="9"/>
        <v>85.945956790123489</v>
      </c>
      <c r="AD27" s="61">
        <f t="shared" si="10"/>
        <v>10.743244598765436</v>
      </c>
      <c r="AF27" s="62">
        <f t="shared" si="11"/>
        <v>1.1432730987654276</v>
      </c>
      <c r="AG27" s="63"/>
      <c r="AH27" s="85"/>
      <c r="AI27" s="4"/>
    </row>
    <row r="28" spans="1:35">
      <c r="A28" s="65">
        <v>22</v>
      </c>
      <c r="B28" s="83" t="s">
        <v>57</v>
      </c>
      <c r="C28" s="44" t="s">
        <v>30</v>
      </c>
      <c r="D28" s="45">
        <f t="shared" si="0"/>
        <v>1167.6666666666677</v>
      </c>
      <c r="E28" s="67">
        <v>27.77</v>
      </c>
      <c r="F28" s="67">
        <v>113</v>
      </c>
      <c r="G28" s="67"/>
      <c r="H28" s="46">
        <f t="shared" si="12"/>
        <v>1308.4366666666676</v>
      </c>
      <c r="I28" s="47">
        <f>H28*$D$66</f>
        <v>170.88182866666679</v>
      </c>
      <c r="J28" s="47">
        <f t="shared" si="13"/>
        <v>1137.5548380000009</v>
      </c>
      <c r="K28" s="48">
        <f t="shared" si="17"/>
        <v>127.18004400000011</v>
      </c>
      <c r="L28" s="45">
        <f t="shared" si="24"/>
        <v>217.98554866666683</v>
      </c>
      <c r="M28" s="45">
        <f t="shared" si="23"/>
        <v>13.07913292000001</v>
      </c>
      <c r="N28" s="49">
        <f t="shared" si="18"/>
        <v>339</v>
      </c>
      <c r="O28" s="49">
        <f t="shared" si="2"/>
        <v>78.506200000000049</v>
      </c>
      <c r="P28" s="48">
        <f t="shared" si="19"/>
        <v>9.7269181800000073</v>
      </c>
      <c r="Q28" s="48">
        <f t="shared" si="14"/>
        <v>8.8005450200000048</v>
      </c>
      <c r="R28" s="45">
        <f t="shared" si="20"/>
        <v>8.491753966666673</v>
      </c>
      <c r="S28" s="50">
        <f t="shared" si="15"/>
        <v>1834.799563586668</v>
      </c>
      <c r="T28" s="51">
        <f t="shared" si="3"/>
        <v>2111.2068094200017</v>
      </c>
      <c r="U28" s="52">
        <f t="shared" si="4"/>
        <v>78.192844793333393</v>
      </c>
      <c r="V28" s="53">
        <f t="shared" si="16"/>
        <v>9.7741055991666741</v>
      </c>
      <c r="W28" s="55"/>
      <c r="X28" s="42">
        <f t="shared" si="5"/>
        <v>22</v>
      </c>
      <c r="Y28" s="56" t="str">
        <f t="shared" si="6"/>
        <v>Ayamamani Chura Elver Emilio</v>
      </c>
      <c r="Z28" s="57">
        <f t="shared" si="7"/>
        <v>690.200436413332</v>
      </c>
      <c r="AA28" s="58">
        <f>2300+100+125</f>
        <v>2525</v>
      </c>
      <c r="AB28" s="59">
        <f t="shared" si="8"/>
        <v>2801.4072458333339</v>
      </c>
      <c r="AC28" s="60">
        <f t="shared" si="9"/>
        <v>103.75582391975311</v>
      </c>
      <c r="AD28" s="61">
        <f t="shared" si="10"/>
        <v>12.969477989969139</v>
      </c>
      <c r="AF28" s="62">
        <f t="shared" si="11"/>
        <v>3.1953723908024632</v>
      </c>
      <c r="AG28" s="63"/>
      <c r="AH28" s="85"/>
      <c r="AI28" s="4"/>
    </row>
    <row r="29" spans="1:35">
      <c r="A29" s="42">
        <v>23</v>
      </c>
      <c r="B29" s="83" t="s">
        <v>58</v>
      </c>
      <c r="C29" s="75" t="s">
        <v>40</v>
      </c>
      <c r="D29" s="45">
        <f t="shared" si="0"/>
        <v>1167.6666666666677</v>
      </c>
      <c r="E29" s="46"/>
      <c r="F29" s="67"/>
      <c r="G29" s="67"/>
      <c r="H29" s="46">
        <f t="shared" si="12"/>
        <v>1167.6666666666677</v>
      </c>
      <c r="I29" s="76">
        <f>H29*$D$64</f>
        <v>150.86253333333346</v>
      </c>
      <c r="J29" s="47">
        <f t="shared" si="13"/>
        <v>1016.8041333333342</v>
      </c>
      <c r="K29" s="48">
        <f t="shared" si="17"/>
        <v>113.49720000000011</v>
      </c>
      <c r="L29" s="45">
        <f t="shared" si="24"/>
        <v>194.53326666666683</v>
      </c>
      <c r="M29" s="45">
        <f t="shared" si="23"/>
        <v>11.671996000000009</v>
      </c>
      <c r="N29" s="49">
        <f t="shared" si="18"/>
        <v>339</v>
      </c>
      <c r="O29" s="49">
        <f t="shared" si="2"/>
        <v>70.060000000000059</v>
      </c>
      <c r="P29" s="48">
        <f t="shared" si="19"/>
        <v>8.6804340000000071</v>
      </c>
      <c r="Q29" s="48">
        <f t="shared" si="14"/>
        <v>7.8537260000000053</v>
      </c>
      <c r="R29" s="45">
        <f t="shared" si="20"/>
        <v>7.5781566666666738</v>
      </c>
      <c r="S29" s="50">
        <f t="shared" si="15"/>
        <v>1675.5065960000011</v>
      </c>
      <c r="T29" s="51">
        <f t="shared" si="3"/>
        <v>1920.5414460000013</v>
      </c>
      <c r="U29" s="52">
        <f t="shared" si="4"/>
        <v>71.13116466666672</v>
      </c>
      <c r="V29" s="53">
        <f t="shared" si="16"/>
        <v>8.89139558333334</v>
      </c>
      <c r="W29" s="55"/>
      <c r="X29" s="42">
        <f t="shared" si="5"/>
        <v>23</v>
      </c>
      <c r="Y29" s="56" t="str">
        <f t="shared" si="6"/>
        <v xml:space="preserve">Cañari Pucho, Guillermo </v>
      </c>
      <c r="Z29" s="57">
        <f t="shared" si="7"/>
        <v>324.49340399999892</v>
      </c>
      <c r="AA29" s="58">
        <f>1775+100+125</f>
        <v>2000</v>
      </c>
      <c r="AB29" s="59">
        <f t="shared" si="8"/>
        <v>2245.03485</v>
      </c>
      <c r="AC29" s="60">
        <f t="shared" si="9"/>
        <v>83.149438888888895</v>
      </c>
      <c r="AD29" s="61">
        <f t="shared" si="10"/>
        <v>10.393679861111112</v>
      </c>
      <c r="AF29" s="62">
        <f t="shared" si="11"/>
        <v>1.5022842777777727</v>
      </c>
      <c r="AG29" s="63"/>
      <c r="AH29" s="85"/>
      <c r="AI29" s="4"/>
    </row>
    <row r="30" spans="1:35">
      <c r="A30" s="65">
        <v>24</v>
      </c>
      <c r="B30" s="83" t="s">
        <v>59</v>
      </c>
      <c r="C30" s="44" t="s">
        <v>30</v>
      </c>
      <c r="D30" s="45">
        <f t="shared" si="0"/>
        <v>1167.6666666666677</v>
      </c>
      <c r="E30" s="67"/>
      <c r="F30" s="67"/>
      <c r="G30" s="67"/>
      <c r="H30" s="46">
        <f t="shared" si="12"/>
        <v>1167.6666666666677</v>
      </c>
      <c r="I30" s="47">
        <f>H30*$D$66</f>
        <v>152.49726666666677</v>
      </c>
      <c r="J30" s="47">
        <f t="shared" si="13"/>
        <v>1015.1694000000009</v>
      </c>
      <c r="K30" s="48">
        <f t="shared" si="17"/>
        <v>113.49720000000011</v>
      </c>
      <c r="L30" s="45">
        <f t="shared" si="24"/>
        <v>194.53326666666683</v>
      </c>
      <c r="M30" s="45">
        <f t="shared" si="23"/>
        <v>11.671996000000009</v>
      </c>
      <c r="N30" s="49">
        <f t="shared" si="18"/>
        <v>339</v>
      </c>
      <c r="O30" s="49">
        <f t="shared" si="2"/>
        <v>70.060000000000059</v>
      </c>
      <c r="P30" s="48">
        <f t="shared" si="19"/>
        <v>8.6804340000000071</v>
      </c>
      <c r="Q30" s="48">
        <f t="shared" si="14"/>
        <v>7.8537260000000053</v>
      </c>
      <c r="R30" s="45">
        <f t="shared" si="20"/>
        <v>7.5781566666666738</v>
      </c>
      <c r="S30" s="50">
        <f t="shared" si="15"/>
        <v>1673.8718626666678</v>
      </c>
      <c r="T30" s="51">
        <f t="shared" si="3"/>
        <v>1920.5414460000013</v>
      </c>
      <c r="U30" s="52">
        <f t="shared" si="4"/>
        <v>71.13116466666672</v>
      </c>
      <c r="V30" s="53">
        <f t="shared" si="16"/>
        <v>8.89139558333334</v>
      </c>
      <c r="W30" s="55"/>
      <c r="X30" s="42">
        <f t="shared" si="5"/>
        <v>24</v>
      </c>
      <c r="Y30" s="56" t="str">
        <f t="shared" si="6"/>
        <v>Ccanchi Neira, Juan Lorenzo</v>
      </c>
      <c r="Z30" s="57">
        <f t="shared" si="7"/>
        <v>326.12813733333223</v>
      </c>
      <c r="AA30" s="58">
        <f>1775+100+125</f>
        <v>2000</v>
      </c>
      <c r="AB30" s="59">
        <f t="shared" si="8"/>
        <v>2246.6695833333333</v>
      </c>
      <c r="AC30" s="60">
        <f t="shared" si="9"/>
        <v>83.20998456790123</v>
      </c>
      <c r="AD30" s="61">
        <f t="shared" si="10"/>
        <v>10.401248070987654</v>
      </c>
      <c r="AF30" s="62">
        <f t="shared" si="11"/>
        <v>1.5098524876543158</v>
      </c>
      <c r="AG30" s="63"/>
      <c r="AH30" s="85"/>
      <c r="AI30" s="4"/>
    </row>
    <row r="31" spans="1:35">
      <c r="A31" s="42">
        <v>25</v>
      </c>
      <c r="B31" s="56" t="s">
        <v>60</v>
      </c>
      <c r="C31" s="73" t="s">
        <v>38</v>
      </c>
      <c r="D31" s="45">
        <f t="shared" si="0"/>
        <v>1167.6666666666677</v>
      </c>
      <c r="E31" s="46"/>
      <c r="F31" s="46"/>
      <c r="G31" s="46"/>
      <c r="H31" s="46">
        <f t="shared" si="12"/>
        <v>1167.6666666666677</v>
      </c>
      <c r="I31" s="74">
        <f>H31*$E$69</f>
        <v>151.79666666666679</v>
      </c>
      <c r="J31" s="47">
        <f t="shared" si="13"/>
        <v>1015.8700000000008</v>
      </c>
      <c r="K31" s="48">
        <f t="shared" si="17"/>
        <v>113.49720000000011</v>
      </c>
      <c r="L31" s="45">
        <f t="shared" si="24"/>
        <v>194.53326666666683</v>
      </c>
      <c r="M31" s="45">
        <f t="shared" si="23"/>
        <v>11.671996000000009</v>
      </c>
      <c r="N31" s="49">
        <f t="shared" si="18"/>
        <v>339</v>
      </c>
      <c r="O31" s="49">
        <f t="shared" si="2"/>
        <v>70.060000000000059</v>
      </c>
      <c r="P31" s="48">
        <f t="shared" si="19"/>
        <v>8.6804340000000071</v>
      </c>
      <c r="Q31" s="48">
        <f t="shared" si="14"/>
        <v>7.8537260000000053</v>
      </c>
      <c r="R31" s="45">
        <f t="shared" si="20"/>
        <v>7.5781566666666738</v>
      </c>
      <c r="S31" s="50">
        <f t="shared" si="15"/>
        <v>1674.5724626666677</v>
      </c>
      <c r="T31" s="51">
        <f t="shared" si="3"/>
        <v>1920.5414460000013</v>
      </c>
      <c r="U31" s="52">
        <f t="shared" si="4"/>
        <v>71.13116466666672</v>
      </c>
      <c r="V31" s="53">
        <f t="shared" si="16"/>
        <v>8.89139558333334</v>
      </c>
      <c r="W31" s="55"/>
      <c r="X31" s="42">
        <f t="shared" si="5"/>
        <v>25</v>
      </c>
      <c r="Y31" s="56" t="str">
        <f t="shared" si="6"/>
        <v>Gamarra Chambi, Ernesto</v>
      </c>
      <c r="Z31" s="57">
        <f t="shared" si="7"/>
        <v>325.42753733333234</v>
      </c>
      <c r="AA31" s="58">
        <f>1775+100+125</f>
        <v>2000</v>
      </c>
      <c r="AB31" s="59">
        <f t="shared" si="8"/>
        <v>2245.9689833333337</v>
      </c>
      <c r="AC31" s="60">
        <f t="shared" si="9"/>
        <v>83.184036419753099</v>
      </c>
      <c r="AD31" s="61">
        <f t="shared" si="10"/>
        <v>10.398004552469137</v>
      </c>
      <c r="AF31" s="62">
        <f t="shared" si="11"/>
        <v>1.5066089691357978</v>
      </c>
      <c r="AG31" s="63"/>
      <c r="AH31" s="85"/>
      <c r="AI31" s="4"/>
    </row>
    <row r="32" spans="1:35">
      <c r="A32" s="65">
        <v>26</v>
      </c>
      <c r="B32" s="83" t="s">
        <v>61</v>
      </c>
      <c r="C32" s="70" t="s">
        <v>36</v>
      </c>
      <c r="D32" s="45">
        <f t="shared" si="0"/>
        <v>1167.6666666666677</v>
      </c>
      <c r="E32" s="67"/>
      <c r="F32" s="67">
        <v>113</v>
      </c>
      <c r="G32" s="67"/>
      <c r="H32" s="46">
        <f t="shared" si="12"/>
        <v>1280.6666666666677</v>
      </c>
      <c r="I32" s="71">
        <f>H32*$E$70</f>
        <v>145.6118000000001</v>
      </c>
      <c r="J32" s="47">
        <f t="shared" si="13"/>
        <v>1135.0548666666675</v>
      </c>
      <c r="K32" s="48">
        <f t="shared" si="17"/>
        <v>124.4808000000001</v>
      </c>
      <c r="L32" s="45">
        <f t="shared" si="24"/>
        <v>213.35906666666682</v>
      </c>
      <c r="M32" s="45">
        <f t="shared" si="23"/>
        <v>12.801544000000009</v>
      </c>
      <c r="N32" s="49">
        <f t="shared" si="18"/>
        <v>339</v>
      </c>
      <c r="O32" s="49">
        <f t="shared" si="2"/>
        <v>76.84000000000006</v>
      </c>
      <c r="P32" s="48">
        <f t="shared" si="19"/>
        <v>9.5204760000000075</v>
      </c>
      <c r="Q32" s="48">
        <f t="shared" si="14"/>
        <v>8.6137640000000051</v>
      </c>
      <c r="R32" s="45">
        <f t="shared" si="20"/>
        <v>8.3115266666666745</v>
      </c>
      <c r="S32" s="50">
        <f t="shared" si="15"/>
        <v>1824.6962773333344</v>
      </c>
      <c r="T32" s="51">
        <f t="shared" si="3"/>
        <v>2073.5938440000018</v>
      </c>
      <c r="U32" s="52">
        <f t="shared" si="4"/>
        <v>76.799772000000061</v>
      </c>
      <c r="V32" s="53">
        <f t="shared" si="16"/>
        <v>9.5999715000000077</v>
      </c>
      <c r="W32" s="55"/>
      <c r="X32" s="42">
        <f t="shared" si="5"/>
        <v>26</v>
      </c>
      <c r="Y32" s="56" t="str">
        <f t="shared" si="6"/>
        <v>Huaynacho Otazu, Donar</v>
      </c>
      <c r="Z32" s="57">
        <f t="shared" si="7"/>
        <v>225.30372266666564</v>
      </c>
      <c r="AA32" s="58">
        <f>1825+100+125</f>
        <v>2050</v>
      </c>
      <c r="AB32" s="59">
        <f t="shared" si="8"/>
        <v>2298.8975666666674</v>
      </c>
      <c r="AC32" s="60">
        <f t="shared" si="9"/>
        <v>85.144354320987688</v>
      </c>
      <c r="AD32" s="61">
        <f t="shared" si="10"/>
        <v>10.643044290123461</v>
      </c>
      <c r="AF32" s="62">
        <f t="shared" si="11"/>
        <v>1.043072790123452</v>
      </c>
      <c r="AG32" s="63"/>
      <c r="AH32" s="85"/>
      <c r="AI32" s="4"/>
    </row>
    <row r="33" spans="1:35">
      <c r="A33" s="42">
        <v>27</v>
      </c>
      <c r="B33" s="83" t="s">
        <v>62</v>
      </c>
      <c r="C33" s="79" t="s">
        <v>49</v>
      </c>
      <c r="D33" s="45">
        <f t="shared" si="0"/>
        <v>1167.6666666666677</v>
      </c>
      <c r="E33" s="67"/>
      <c r="F33" s="67">
        <v>113</v>
      </c>
      <c r="G33" s="67"/>
      <c r="H33" s="46">
        <f t="shared" si="12"/>
        <v>1280.6666666666677</v>
      </c>
      <c r="I33" s="80">
        <f>H33*$E$72</f>
        <v>145.6118000000001</v>
      </c>
      <c r="J33" s="47">
        <f t="shared" si="13"/>
        <v>1135.0548666666675</v>
      </c>
      <c r="K33" s="48">
        <f>((D33+E33+F33)*(9.72%))</f>
        <v>124.4808000000001</v>
      </c>
      <c r="L33" s="45">
        <f>(D33+E33+F33)*(16.66%)</f>
        <v>213.35906666666682</v>
      </c>
      <c r="M33" s="45">
        <f>L33*6%</f>
        <v>12.801544000000009</v>
      </c>
      <c r="N33" s="49">
        <f t="shared" si="18"/>
        <v>339</v>
      </c>
      <c r="O33" s="49">
        <f>H33*6%</f>
        <v>76.84000000000006</v>
      </c>
      <c r="P33" s="48">
        <f>((H33*(0.63%))*1.18)</f>
        <v>9.5204760000000075</v>
      </c>
      <c r="Q33" s="48">
        <f t="shared" si="14"/>
        <v>8.6137640000000051</v>
      </c>
      <c r="R33" s="45">
        <f>(H33*(0.55%))*1.18</f>
        <v>8.3115266666666745</v>
      </c>
      <c r="S33" s="50">
        <f t="shared" si="15"/>
        <v>1824.6962773333344</v>
      </c>
      <c r="T33" s="51">
        <f t="shared" si="3"/>
        <v>2073.5938440000018</v>
      </c>
      <c r="U33" s="52">
        <f t="shared" si="4"/>
        <v>76.799772000000061</v>
      </c>
      <c r="V33" s="53">
        <f>+U33/8</f>
        <v>9.5999715000000077</v>
      </c>
      <c r="W33" s="55"/>
      <c r="X33" s="42">
        <f t="shared" si="5"/>
        <v>27</v>
      </c>
      <c r="Y33" s="56" t="str">
        <f t="shared" si="6"/>
        <v>Huaynapata Itusaca Yoni Angel</v>
      </c>
      <c r="Z33" s="57">
        <f t="shared" si="7"/>
        <v>225.30372266666564</v>
      </c>
      <c r="AA33" s="58">
        <f>1925+125</f>
        <v>2050</v>
      </c>
      <c r="AB33" s="59">
        <f t="shared" si="8"/>
        <v>2298.8975666666674</v>
      </c>
      <c r="AC33" s="60">
        <f t="shared" si="9"/>
        <v>85.144354320987688</v>
      </c>
      <c r="AD33" s="61">
        <f>+AC33/8</f>
        <v>10.643044290123461</v>
      </c>
      <c r="AF33" s="62">
        <f t="shared" si="11"/>
        <v>1.043072790123452</v>
      </c>
      <c r="AG33" s="63"/>
      <c r="AH33" s="85"/>
      <c r="AI33" s="4"/>
    </row>
    <row r="34" spans="1:35">
      <c r="A34" s="65">
        <v>28</v>
      </c>
      <c r="B34" s="83" t="s">
        <v>63</v>
      </c>
      <c r="C34" s="44" t="s">
        <v>30</v>
      </c>
      <c r="D34" s="45">
        <f t="shared" si="0"/>
        <v>1167.6666666666677</v>
      </c>
      <c r="E34" s="67"/>
      <c r="F34" s="67"/>
      <c r="G34" s="67"/>
      <c r="H34" s="46">
        <f t="shared" si="12"/>
        <v>1167.6666666666677</v>
      </c>
      <c r="I34" s="47">
        <f>H34*$D$66</f>
        <v>152.49726666666677</v>
      </c>
      <c r="J34" s="47">
        <f t="shared" si="13"/>
        <v>1015.1694000000009</v>
      </c>
      <c r="K34" s="48">
        <f t="shared" si="17"/>
        <v>113.49720000000011</v>
      </c>
      <c r="L34" s="45">
        <f t="shared" si="24"/>
        <v>194.53326666666683</v>
      </c>
      <c r="M34" s="45">
        <f t="shared" si="23"/>
        <v>11.671996000000009</v>
      </c>
      <c r="N34" s="49">
        <f t="shared" si="18"/>
        <v>339</v>
      </c>
      <c r="O34" s="49">
        <f t="shared" si="2"/>
        <v>70.060000000000059</v>
      </c>
      <c r="P34" s="48">
        <f t="shared" si="19"/>
        <v>8.6804340000000071</v>
      </c>
      <c r="Q34" s="48">
        <f t="shared" si="14"/>
        <v>7.8537260000000053</v>
      </c>
      <c r="R34" s="45">
        <f t="shared" si="20"/>
        <v>7.5781566666666738</v>
      </c>
      <c r="S34" s="50">
        <f t="shared" si="15"/>
        <v>1673.8718626666678</v>
      </c>
      <c r="T34" s="51">
        <f t="shared" si="3"/>
        <v>1920.5414460000013</v>
      </c>
      <c r="U34" s="52">
        <f t="shared" si="4"/>
        <v>71.13116466666672</v>
      </c>
      <c r="V34" s="53">
        <f t="shared" si="16"/>
        <v>8.89139558333334</v>
      </c>
      <c r="W34" s="55"/>
      <c r="X34" s="42">
        <f t="shared" si="5"/>
        <v>28</v>
      </c>
      <c r="Y34" s="56" t="str">
        <f t="shared" si="6"/>
        <v>Idme Huaraccallo, Agustin</v>
      </c>
      <c r="Z34" s="57">
        <f t="shared" si="7"/>
        <v>376.12813733333223</v>
      </c>
      <c r="AA34" s="58">
        <f>1825+100+125</f>
        <v>2050</v>
      </c>
      <c r="AB34" s="59">
        <f t="shared" si="8"/>
        <v>2296.6695833333333</v>
      </c>
      <c r="AC34" s="60">
        <f t="shared" si="9"/>
        <v>85.061836419753092</v>
      </c>
      <c r="AD34" s="61">
        <f t="shared" si="10"/>
        <v>10.632729552469137</v>
      </c>
      <c r="AF34" s="62">
        <f t="shared" si="11"/>
        <v>1.7413339691357974</v>
      </c>
      <c r="AG34" s="63"/>
      <c r="AH34" s="85"/>
      <c r="AI34" s="4"/>
    </row>
    <row r="35" spans="1:35">
      <c r="A35" s="42">
        <v>29</v>
      </c>
      <c r="B35" s="86" t="s">
        <v>64</v>
      </c>
      <c r="C35" s="87" t="s">
        <v>65</v>
      </c>
      <c r="D35" s="45">
        <f t="shared" si="0"/>
        <v>1167.6666666666677</v>
      </c>
      <c r="E35" s="67"/>
      <c r="F35" s="67"/>
      <c r="G35" s="67"/>
      <c r="H35" s="46">
        <f t="shared" si="12"/>
        <v>1167.6666666666677</v>
      </c>
      <c r="I35" s="47">
        <v>0</v>
      </c>
      <c r="J35" s="47">
        <f t="shared" si="13"/>
        <v>1167.6666666666677</v>
      </c>
      <c r="K35" s="48">
        <f>((D35+E35+F35)*(9.72%))</f>
        <v>113.49720000000011</v>
      </c>
      <c r="L35" s="45">
        <f t="shared" si="24"/>
        <v>194.53326666666683</v>
      </c>
      <c r="M35" s="45">
        <f>L35*6%</f>
        <v>11.671996000000009</v>
      </c>
      <c r="N35" s="49">
        <f t="shared" si="18"/>
        <v>339</v>
      </c>
      <c r="O35" s="49">
        <f t="shared" si="2"/>
        <v>70.060000000000059</v>
      </c>
      <c r="P35" s="48">
        <f t="shared" si="19"/>
        <v>8.6804340000000071</v>
      </c>
      <c r="Q35" s="48">
        <f t="shared" si="14"/>
        <v>7.8537260000000053</v>
      </c>
      <c r="R35" s="45">
        <f t="shared" si="20"/>
        <v>7.5781566666666738</v>
      </c>
      <c r="S35" s="50">
        <f t="shared" si="15"/>
        <v>1826.3691293333345</v>
      </c>
      <c r="T35" s="51">
        <f t="shared" si="3"/>
        <v>1920.5414460000013</v>
      </c>
      <c r="U35" s="52">
        <f t="shared" si="4"/>
        <v>71.13116466666672</v>
      </c>
      <c r="V35" s="53">
        <f>+U35/8</f>
        <v>8.89139558333334</v>
      </c>
      <c r="W35" s="55"/>
      <c r="X35" s="42">
        <f t="shared" si="5"/>
        <v>29</v>
      </c>
      <c r="Y35" s="56" t="str">
        <f t="shared" si="6"/>
        <v>Lope Choquehuanca, Cirilo</v>
      </c>
      <c r="Z35" s="57">
        <f t="shared" si="7"/>
        <v>884.63087066666549</v>
      </c>
      <c r="AA35" s="58">
        <f>2361+125+100+125</f>
        <v>2711</v>
      </c>
      <c r="AB35" s="59">
        <f t="shared" si="8"/>
        <v>2805.172316666667</v>
      </c>
      <c r="AC35" s="60">
        <f t="shared" si="9"/>
        <v>103.89527098765433</v>
      </c>
      <c r="AD35" s="61">
        <f t="shared" si="10"/>
        <v>12.986908873456791</v>
      </c>
      <c r="AF35" s="62">
        <f t="shared" si="11"/>
        <v>4.095513290123451</v>
      </c>
      <c r="AG35" s="63"/>
      <c r="AH35" s="85"/>
      <c r="AI35" s="4"/>
    </row>
    <row r="36" spans="1:35">
      <c r="A36" s="65">
        <v>30</v>
      </c>
      <c r="B36" s="86" t="s">
        <v>66</v>
      </c>
      <c r="C36" s="88" t="s">
        <v>38</v>
      </c>
      <c r="D36" s="45">
        <f t="shared" si="0"/>
        <v>1167.6666666666677</v>
      </c>
      <c r="E36" s="67"/>
      <c r="F36" s="67"/>
      <c r="G36" s="67"/>
      <c r="H36" s="46">
        <f t="shared" si="12"/>
        <v>1167.6666666666677</v>
      </c>
      <c r="I36" s="47">
        <v>0</v>
      </c>
      <c r="J36" s="47">
        <f t="shared" si="13"/>
        <v>1167.6666666666677</v>
      </c>
      <c r="K36" s="48">
        <f>((D36+E36+F36)*(9.72%))</f>
        <v>113.49720000000011</v>
      </c>
      <c r="L36" s="45">
        <f t="shared" si="24"/>
        <v>194.53326666666683</v>
      </c>
      <c r="M36" s="45">
        <f>L36*6%</f>
        <v>11.671996000000009</v>
      </c>
      <c r="N36" s="49">
        <f t="shared" si="18"/>
        <v>339</v>
      </c>
      <c r="O36" s="49">
        <f t="shared" si="2"/>
        <v>70.060000000000059</v>
      </c>
      <c r="P36" s="48">
        <f t="shared" si="19"/>
        <v>8.6804340000000071</v>
      </c>
      <c r="Q36" s="48">
        <f t="shared" si="14"/>
        <v>7.8537260000000053</v>
      </c>
      <c r="R36" s="45">
        <f t="shared" si="20"/>
        <v>7.5781566666666738</v>
      </c>
      <c r="S36" s="50">
        <f t="shared" si="15"/>
        <v>1826.3691293333345</v>
      </c>
      <c r="T36" s="51">
        <f t="shared" si="3"/>
        <v>1920.5414460000013</v>
      </c>
      <c r="U36" s="52">
        <f t="shared" si="4"/>
        <v>71.13116466666672</v>
      </c>
      <c r="V36" s="53">
        <f>+U36/8</f>
        <v>8.89139558333334</v>
      </c>
      <c r="W36" s="55"/>
      <c r="X36" s="42">
        <f t="shared" si="5"/>
        <v>30</v>
      </c>
      <c r="Y36" s="56" t="str">
        <f t="shared" si="6"/>
        <v>Lope Choquehuanca, Luis</v>
      </c>
      <c r="Z36" s="57">
        <f t="shared" si="7"/>
        <v>573.63087066666549</v>
      </c>
      <c r="AA36" s="58">
        <f>1900+125+100+125+150</f>
        <v>2400</v>
      </c>
      <c r="AB36" s="59">
        <f t="shared" si="8"/>
        <v>2494.172316666667</v>
      </c>
      <c r="AC36" s="60">
        <f t="shared" si="9"/>
        <v>92.376752469135809</v>
      </c>
      <c r="AD36" s="61">
        <f t="shared" si="10"/>
        <v>11.547094058641976</v>
      </c>
      <c r="AF36" s="62">
        <f t="shared" si="11"/>
        <v>2.6556984753086366</v>
      </c>
      <c r="AG36" s="63"/>
      <c r="AH36" s="85"/>
      <c r="AI36" s="4"/>
    </row>
    <row r="37" spans="1:35">
      <c r="A37" s="42">
        <v>31</v>
      </c>
      <c r="B37" s="83" t="s">
        <v>67</v>
      </c>
      <c r="C37" s="73" t="s">
        <v>38</v>
      </c>
      <c r="D37" s="45">
        <f t="shared" si="0"/>
        <v>1167.6666666666677</v>
      </c>
      <c r="E37" s="67"/>
      <c r="F37" s="67">
        <v>113</v>
      </c>
      <c r="G37" s="67"/>
      <c r="H37" s="46">
        <f t="shared" si="12"/>
        <v>1280.6666666666677</v>
      </c>
      <c r="I37" s="74">
        <f>H37*$E$69</f>
        <v>166.48666666666679</v>
      </c>
      <c r="J37" s="47">
        <f t="shared" si="13"/>
        <v>1114.1800000000007</v>
      </c>
      <c r="K37" s="48">
        <f t="shared" si="17"/>
        <v>124.4808000000001</v>
      </c>
      <c r="L37" s="45">
        <f t="shared" si="24"/>
        <v>213.35906666666682</v>
      </c>
      <c r="M37" s="45">
        <f t="shared" si="23"/>
        <v>12.801544000000009</v>
      </c>
      <c r="N37" s="49">
        <f t="shared" si="18"/>
        <v>339</v>
      </c>
      <c r="O37" s="49">
        <f t="shared" si="2"/>
        <v>76.84000000000006</v>
      </c>
      <c r="P37" s="48">
        <f t="shared" si="19"/>
        <v>9.5204760000000075</v>
      </c>
      <c r="Q37" s="48">
        <f t="shared" si="14"/>
        <v>8.6137640000000051</v>
      </c>
      <c r="R37" s="45">
        <f t="shared" si="20"/>
        <v>8.3115266666666745</v>
      </c>
      <c r="S37" s="50">
        <f t="shared" si="15"/>
        <v>1803.8214106666676</v>
      </c>
      <c r="T37" s="51">
        <f t="shared" si="3"/>
        <v>2073.5938440000018</v>
      </c>
      <c r="U37" s="52">
        <f t="shared" si="4"/>
        <v>76.799772000000061</v>
      </c>
      <c r="V37" s="53">
        <f t="shared" si="16"/>
        <v>9.5999715000000077</v>
      </c>
      <c r="W37" s="55"/>
      <c r="X37" s="42">
        <f t="shared" si="5"/>
        <v>31</v>
      </c>
      <c r="Y37" s="89" t="str">
        <f t="shared" si="6"/>
        <v>Lopez Mamani, Nestor</v>
      </c>
      <c r="Z37" s="57">
        <f t="shared" si="7"/>
        <v>386.17858933333241</v>
      </c>
      <c r="AA37" s="58">
        <f>1925+140+125</f>
        <v>2190</v>
      </c>
      <c r="AB37" s="59">
        <f t="shared" si="8"/>
        <v>2459.7724333333344</v>
      </c>
      <c r="AC37" s="60">
        <f t="shared" si="9"/>
        <v>91.102682716049429</v>
      </c>
      <c r="AD37" s="61">
        <f t="shared" si="10"/>
        <v>11.387835339506179</v>
      </c>
      <c r="AF37" s="62">
        <f t="shared" si="11"/>
        <v>1.7878638395061686</v>
      </c>
      <c r="AG37" s="63"/>
      <c r="AH37" s="85"/>
      <c r="AI37" s="4"/>
    </row>
    <row r="38" spans="1:35">
      <c r="A38" s="65">
        <v>32</v>
      </c>
      <c r="B38" s="83" t="s">
        <v>68</v>
      </c>
      <c r="C38" s="73" t="s">
        <v>38</v>
      </c>
      <c r="D38" s="45">
        <f t="shared" si="0"/>
        <v>1167.6666666666677</v>
      </c>
      <c r="E38" s="67"/>
      <c r="F38" s="67">
        <v>113</v>
      </c>
      <c r="G38" s="67"/>
      <c r="H38" s="46">
        <f t="shared" si="12"/>
        <v>1280.6666666666677</v>
      </c>
      <c r="I38" s="74">
        <f>H38*$E$69</f>
        <v>166.48666666666679</v>
      </c>
      <c r="J38" s="47">
        <f t="shared" si="13"/>
        <v>1114.1800000000007</v>
      </c>
      <c r="K38" s="48">
        <f t="shared" si="17"/>
        <v>124.4808000000001</v>
      </c>
      <c r="L38" s="45">
        <f t="shared" si="24"/>
        <v>213.35906666666682</v>
      </c>
      <c r="M38" s="45">
        <f t="shared" si="23"/>
        <v>12.801544000000009</v>
      </c>
      <c r="N38" s="49">
        <f t="shared" si="18"/>
        <v>339</v>
      </c>
      <c r="O38" s="49">
        <f t="shared" si="2"/>
        <v>76.84000000000006</v>
      </c>
      <c r="P38" s="48">
        <f t="shared" si="19"/>
        <v>9.5204760000000075</v>
      </c>
      <c r="Q38" s="48">
        <f t="shared" si="14"/>
        <v>8.6137640000000051</v>
      </c>
      <c r="R38" s="45">
        <f t="shared" si="20"/>
        <v>8.3115266666666745</v>
      </c>
      <c r="S38" s="50">
        <f t="shared" si="15"/>
        <v>1803.8214106666676</v>
      </c>
      <c r="T38" s="51">
        <f t="shared" si="3"/>
        <v>2073.5938440000018</v>
      </c>
      <c r="U38" s="52">
        <f t="shared" si="4"/>
        <v>76.799772000000061</v>
      </c>
      <c r="V38" s="53">
        <f t="shared" si="16"/>
        <v>9.5999715000000077</v>
      </c>
      <c r="W38" s="55"/>
      <c r="X38" s="42">
        <f t="shared" si="5"/>
        <v>32</v>
      </c>
      <c r="Y38" s="56" t="str">
        <f t="shared" si="6"/>
        <v>Mamani Anconaira, Santo Domingo</v>
      </c>
      <c r="Z38" s="57">
        <f t="shared" si="7"/>
        <v>196.17858933333241</v>
      </c>
      <c r="AA38" s="58">
        <f>1775+100+125</f>
        <v>2000</v>
      </c>
      <c r="AB38" s="59">
        <f t="shared" si="8"/>
        <v>2269.7724333333344</v>
      </c>
      <c r="AC38" s="60">
        <f t="shared" si="9"/>
        <v>84.065645679012391</v>
      </c>
      <c r="AD38" s="61">
        <f t="shared" si="10"/>
        <v>10.508205709876549</v>
      </c>
      <c r="AF38" s="62">
        <f t="shared" si="11"/>
        <v>0.90823420987653891</v>
      </c>
      <c r="AG38" s="63"/>
      <c r="AH38" s="85"/>
      <c r="AI38" s="4"/>
    </row>
    <row r="39" spans="1:35">
      <c r="A39" s="42">
        <v>33</v>
      </c>
      <c r="B39" s="83" t="s">
        <v>69</v>
      </c>
      <c r="C39" s="44" t="s">
        <v>30</v>
      </c>
      <c r="D39" s="45">
        <f t="shared" si="0"/>
        <v>1167.6666666666677</v>
      </c>
      <c r="E39" s="67">
        <v>106.8999</v>
      </c>
      <c r="F39" s="67">
        <v>113</v>
      </c>
      <c r="G39" s="67"/>
      <c r="H39" s="46">
        <f t="shared" si="12"/>
        <v>1387.5665666666678</v>
      </c>
      <c r="I39" s="47">
        <f>H39*$D$66</f>
        <v>181.21619360666679</v>
      </c>
      <c r="J39" s="47">
        <f t="shared" si="13"/>
        <v>1206.3503730600009</v>
      </c>
      <c r="K39" s="48">
        <f t="shared" si="17"/>
        <v>134.87147028000012</v>
      </c>
      <c r="L39" s="45">
        <f t="shared" si="24"/>
        <v>231.16859000666685</v>
      </c>
      <c r="M39" s="45">
        <f t="shared" si="23"/>
        <v>13.87011540040001</v>
      </c>
      <c r="N39" s="49">
        <f t="shared" si="18"/>
        <v>339</v>
      </c>
      <c r="O39" s="49">
        <f t="shared" si="2"/>
        <v>83.253994000000063</v>
      </c>
      <c r="P39" s="48">
        <f t="shared" si="19"/>
        <v>10.315169856600008</v>
      </c>
      <c r="Q39" s="48">
        <f t="shared" si="14"/>
        <v>9.3327727274000054</v>
      </c>
      <c r="R39" s="45">
        <f t="shared" si="20"/>
        <v>9.0053070176666754</v>
      </c>
      <c r="S39" s="50">
        <f t="shared" si="15"/>
        <v>1925.2605487470678</v>
      </c>
      <c r="T39" s="51">
        <f t="shared" si="3"/>
        <v>2218.3839859554014</v>
      </c>
      <c r="U39" s="52">
        <f t="shared" si="4"/>
        <v>82.162369850200051</v>
      </c>
      <c r="V39" s="53">
        <f t="shared" si="16"/>
        <v>10.270296231275006</v>
      </c>
      <c r="W39" s="55"/>
      <c r="X39" s="42">
        <f t="shared" si="5"/>
        <v>33</v>
      </c>
      <c r="Y39" s="56" t="str">
        <f t="shared" si="6"/>
        <v>Mamani Idme, Vicente</v>
      </c>
      <c r="Z39" s="57">
        <f t="shared" si="7"/>
        <v>1924.7394512529322</v>
      </c>
      <c r="AA39" s="58">
        <f>3625+100+125</f>
        <v>3850</v>
      </c>
      <c r="AB39" s="59">
        <f t="shared" si="8"/>
        <v>4143.1234372083336</v>
      </c>
      <c r="AC39" s="60">
        <f t="shared" si="9"/>
        <v>153.44901619290124</v>
      </c>
      <c r="AD39" s="61">
        <f t="shared" si="10"/>
        <v>19.181127024112655</v>
      </c>
      <c r="AF39" s="62">
        <f t="shared" si="11"/>
        <v>8.9108307928376487</v>
      </c>
      <c r="AG39" s="63"/>
      <c r="AH39" s="85"/>
      <c r="AI39" s="4"/>
    </row>
    <row r="40" spans="1:35">
      <c r="A40" s="65">
        <v>34</v>
      </c>
      <c r="B40" s="83" t="s">
        <v>70</v>
      </c>
      <c r="C40" s="70" t="s">
        <v>36</v>
      </c>
      <c r="D40" s="45">
        <f t="shared" si="0"/>
        <v>1167.6666666666677</v>
      </c>
      <c r="E40" s="67"/>
      <c r="F40" s="67"/>
      <c r="G40" s="67"/>
      <c r="H40" s="46">
        <f t="shared" si="12"/>
        <v>1167.6666666666677</v>
      </c>
      <c r="I40" s="71">
        <f>H40*$E$70</f>
        <v>132.76370000000011</v>
      </c>
      <c r="J40" s="47">
        <f t="shared" si="13"/>
        <v>1034.9029666666675</v>
      </c>
      <c r="K40" s="48">
        <f t="shared" si="17"/>
        <v>113.49720000000011</v>
      </c>
      <c r="L40" s="45">
        <f t="shared" si="24"/>
        <v>194.53326666666683</v>
      </c>
      <c r="M40" s="45">
        <f t="shared" si="23"/>
        <v>11.671996000000009</v>
      </c>
      <c r="N40" s="49">
        <f t="shared" si="18"/>
        <v>339</v>
      </c>
      <c r="O40" s="49">
        <f t="shared" si="2"/>
        <v>70.060000000000059</v>
      </c>
      <c r="P40" s="48">
        <f t="shared" si="19"/>
        <v>8.6804340000000071</v>
      </c>
      <c r="Q40" s="48">
        <f t="shared" si="14"/>
        <v>7.8537260000000053</v>
      </c>
      <c r="R40" s="45">
        <f t="shared" si="20"/>
        <v>7.5781566666666738</v>
      </c>
      <c r="S40" s="50">
        <f t="shared" si="15"/>
        <v>1693.6054293333343</v>
      </c>
      <c r="T40" s="51">
        <f t="shared" si="3"/>
        <v>1920.5414460000013</v>
      </c>
      <c r="U40" s="52">
        <f t="shared" si="4"/>
        <v>71.13116466666672</v>
      </c>
      <c r="V40" s="53">
        <f t="shared" si="16"/>
        <v>8.89139558333334</v>
      </c>
      <c r="W40" s="55"/>
      <c r="X40" s="42">
        <f t="shared" si="5"/>
        <v>34</v>
      </c>
      <c r="Y40" s="89" t="str">
        <f t="shared" si="6"/>
        <v>Mamani Mamani, Alejandro</v>
      </c>
      <c r="Z40" s="57">
        <f t="shared" si="7"/>
        <v>596.39457066666569</v>
      </c>
      <c r="AA40" s="58">
        <f>2025+140+125</f>
        <v>2290</v>
      </c>
      <c r="AB40" s="59">
        <f t="shared" si="8"/>
        <v>2516.936016666667</v>
      </c>
      <c r="AC40" s="60">
        <f t="shared" si="9"/>
        <v>93.219852469135816</v>
      </c>
      <c r="AD40" s="61">
        <f t="shared" si="10"/>
        <v>11.652481558641977</v>
      </c>
      <c r="AF40" s="62">
        <f t="shared" si="11"/>
        <v>2.7610859753086374</v>
      </c>
      <c r="AG40" s="63"/>
      <c r="AH40" s="85"/>
      <c r="AI40" s="4"/>
    </row>
    <row r="41" spans="1:35">
      <c r="A41" s="42">
        <v>35</v>
      </c>
      <c r="B41" s="83" t="s">
        <v>71</v>
      </c>
      <c r="C41" s="44" t="s">
        <v>30</v>
      </c>
      <c r="D41" s="45">
        <f t="shared" si="0"/>
        <v>1167.6666666666677</v>
      </c>
      <c r="E41" s="67"/>
      <c r="F41" s="67">
        <v>113</v>
      </c>
      <c r="G41" s="67"/>
      <c r="H41" s="46">
        <f t="shared" si="12"/>
        <v>1280.6666666666677</v>
      </c>
      <c r="I41" s="47">
        <f>H41*$D$66</f>
        <v>167.25506666666678</v>
      </c>
      <c r="J41" s="47">
        <f t="shared" si="13"/>
        <v>1113.4116000000008</v>
      </c>
      <c r="K41" s="48">
        <f t="shared" si="17"/>
        <v>124.4808000000001</v>
      </c>
      <c r="L41" s="45">
        <f t="shared" si="24"/>
        <v>213.35906666666682</v>
      </c>
      <c r="M41" s="45">
        <f t="shared" si="23"/>
        <v>12.801544000000009</v>
      </c>
      <c r="N41" s="49">
        <f t="shared" si="18"/>
        <v>339</v>
      </c>
      <c r="O41" s="49">
        <f t="shared" si="2"/>
        <v>76.84000000000006</v>
      </c>
      <c r="P41" s="48">
        <f t="shared" si="19"/>
        <v>9.5204760000000075</v>
      </c>
      <c r="Q41" s="48">
        <f t="shared" si="14"/>
        <v>8.6137640000000051</v>
      </c>
      <c r="R41" s="45">
        <f t="shared" si="20"/>
        <v>8.3115266666666745</v>
      </c>
      <c r="S41" s="50">
        <f t="shared" si="15"/>
        <v>1803.0530106666677</v>
      </c>
      <c r="T41" s="51">
        <f t="shared" si="3"/>
        <v>2073.5938440000018</v>
      </c>
      <c r="U41" s="52">
        <f t="shared" si="4"/>
        <v>76.799772000000061</v>
      </c>
      <c r="V41" s="53">
        <f t="shared" si="16"/>
        <v>9.5999715000000077</v>
      </c>
      <c r="W41" s="55"/>
      <c r="X41" s="42">
        <f t="shared" si="5"/>
        <v>35</v>
      </c>
      <c r="Y41" s="84" t="str">
        <f t="shared" si="6"/>
        <v>Palaco Retamozo Alberto Gilberto</v>
      </c>
      <c r="Z41" s="57">
        <f t="shared" si="7"/>
        <v>386.94698933333234</v>
      </c>
      <c r="AA41" s="58">
        <f>1925+140+125</f>
        <v>2190</v>
      </c>
      <c r="AB41" s="59">
        <f t="shared" si="8"/>
        <v>2460.5408333333344</v>
      </c>
      <c r="AC41" s="60">
        <f t="shared" si="9"/>
        <v>91.13114197530868</v>
      </c>
      <c r="AD41" s="61">
        <f t="shared" si="10"/>
        <v>11.391392746913585</v>
      </c>
      <c r="AF41" s="62">
        <f t="shared" si="11"/>
        <v>1.7914212469135757</v>
      </c>
      <c r="AG41" s="63"/>
      <c r="AH41" s="85"/>
      <c r="AI41" s="4"/>
    </row>
    <row r="42" spans="1:35">
      <c r="A42" s="65">
        <v>36</v>
      </c>
      <c r="B42" s="83" t="s">
        <v>72</v>
      </c>
      <c r="C42" s="77" t="s">
        <v>43</v>
      </c>
      <c r="D42" s="45">
        <f t="shared" si="0"/>
        <v>1167.6666666666677</v>
      </c>
      <c r="E42" s="67"/>
      <c r="F42" s="67"/>
      <c r="G42" s="67"/>
      <c r="H42" s="46">
        <f t="shared" si="12"/>
        <v>1167.6666666666677</v>
      </c>
      <c r="I42" s="78">
        <f>H42*$E$71</f>
        <v>132.76370000000011</v>
      </c>
      <c r="J42" s="47">
        <f t="shared" si="13"/>
        <v>1034.9029666666675</v>
      </c>
      <c r="K42" s="48">
        <f>((D42+E42+F42)*(9.72%))</f>
        <v>113.49720000000011</v>
      </c>
      <c r="L42" s="45">
        <f>(D42+E42+F42)*(16.66%)</f>
        <v>194.53326666666683</v>
      </c>
      <c r="M42" s="45">
        <f>L42*6%</f>
        <v>11.671996000000009</v>
      </c>
      <c r="N42" s="49">
        <f t="shared" si="18"/>
        <v>339</v>
      </c>
      <c r="O42" s="49">
        <f>H42*6%</f>
        <v>70.060000000000059</v>
      </c>
      <c r="P42" s="48">
        <f>((H42*(0.63%))*1.18)</f>
        <v>8.6804340000000071</v>
      </c>
      <c r="Q42" s="48">
        <f t="shared" si="14"/>
        <v>7.8537260000000053</v>
      </c>
      <c r="R42" s="45">
        <f>(H42*(0.55%))*1.18</f>
        <v>7.5781566666666738</v>
      </c>
      <c r="S42" s="50">
        <f t="shared" si="15"/>
        <v>1693.6054293333343</v>
      </c>
      <c r="T42" s="51">
        <f t="shared" si="3"/>
        <v>1920.5414460000013</v>
      </c>
      <c r="U42" s="52">
        <f t="shared" si="4"/>
        <v>71.13116466666672</v>
      </c>
      <c r="V42" s="53">
        <f t="shared" si="16"/>
        <v>8.89139558333334</v>
      </c>
      <c r="W42" s="55"/>
      <c r="X42" s="42">
        <f t="shared" si="5"/>
        <v>36</v>
      </c>
      <c r="Y42" s="89" t="str">
        <f t="shared" si="6"/>
        <v>Perca Mamani Julio Alberto</v>
      </c>
      <c r="Z42" s="57">
        <f t="shared" si="7"/>
        <v>496.39457066666569</v>
      </c>
      <c r="AA42" s="58">
        <f>1925+140+125</f>
        <v>2190</v>
      </c>
      <c r="AB42" s="59">
        <f t="shared" si="8"/>
        <v>2416.936016666667</v>
      </c>
      <c r="AC42" s="60">
        <f t="shared" si="9"/>
        <v>89.516148765432106</v>
      </c>
      <c r="AD42" s="61">
        <f t="shared" si="10"/>
        <v>11.189518595679013</v>
      </c>
      <c r="AF42" s="62">
        <f t="shared" si="11"/>
        <v>2.2981230123456746</v>
      </c>
      <c r="AG42" s="63"/>
      <c r="AH42" s="85"/>
      <c r="AI42" s="4"/>
    </row>
    <row r="43" spans="1:35">
      <c r="A43" s="42">
        <v>37</v>
      </c>
      <c r="B43" s="83" t="s">
        <v>73</v>
      </c>
      <c r="C43" s="79" t="s">
        <v>49</v>
      </c>
      <c r="D43" s="45">
        <f t="shared" si="0"/>
        <v>1167.6666666666677</v>
      </c>
      <c r="E43" s="67"/>
      <c r="F43" s="67"/>
      <c r="G43" s="67"/>
      <c r="H43" s="46">
        <f t="shared" si="12"/>
        <v>1167.6666666666677</v>
      </c>
      <c r="I43" s="80">
        <f>H43*$E$72</f>
        <v>132.76370000000011</v>
      </c>
      <c r="J43" s="47">
        <f t="shared" si="13"/>
        <v>1034.9029666666675</v>
      </c>
      <c r="K43" s="48">
        <f>((D43+E43+F43)*(9.72%))</f>
        <v>113.49720000000011</v>
      </c>
      <c r="L43" s="45">
        <f>(D43+E43+F43)*(16.66%)</f>
        <v>194.53326666666683</v>
      </c>
      <c r="M43" s="45">
        <f>L43*6%</f>
        <v>11.671996000000009</v>
      </c>
      <c r="N43" s="49">
        <f t="shared" si="18"/>
        <v>339</v>
      </c>
      <c r="O43" s="49">
        <f>H43*6%</f>
        <v>70.060000000000059</v>
      </c>
      <c r="P43" s="48">
        <f>((H43*(0.63%))*1.18)</f>
        <v>8.6804340000000071</v>
      </c>
      <c r="Q43" s="48">
        <f t="shared" si="14"/>
        <v>7.8537260000000053</v>
      </c>
      <c r="R43" s="45">
        <f>(H43*(0.55%))*1.18</f>
        <v>7.5781566666666738</v>
      </c>
      <c r="S43" s="50">
        <f t="shared" si="15"/>
        <v>1693.6054293333343</v>
      </c>
      <c r="T43" s="51">
        <f t="shared" si="3"/>
        <v>1920.5414460000013</v>
      </c>
      <c r="U43" s="52">
        <f t="shared" si="4"/>
        <v>71.13116466666672</v>
      </c>
      <c r="V43" s="53">
        <f>+U43/8</f>
        <v>8.89139558333334</v>
      </c>
      <c r="W43" s="55"/>
      <c r="X43" s="42">
        <f t="shared" si="5"/>
        <v>37</v>
      </c>
      <c r="Y43" s="90" t="str">
        <f t="shared" si="6"/>
        <v>Quispe Belizario Alvaro</v>
      </c>
      <c r="Z43" s="57">
        <f t="shared" si="7"/>
        <v>496.39457066666569</v>
      </c>
      <c r="AA43" s="58">
        <f>1925+140+125</f>
        <v>2190</v>
      </c>
      <c r="AB43" s="59">
        <f t="shared" si="8"/>
        <v>2416.936016666667</v>
      </c>
      <c r="AC43" s="60">
        <f t="shared" si="9"/>
        <v>89.516148765432106</v>
      </c>
      <c r="AD43" s="61">
        <f>+AC43/8</f>
        <v>11.189518595679013</v>
      </c>
      <c r="AF43" s="62">
        <f t="shared" si="11"/>
        <v>2.2981230123456746</v>
      </c>
      <c r="AG43" s="63"/>
      <c r="AH43" s="85"/>
      <c r="AI43" s="4"/>
    </row>
    <row r="44" spans="1:35">
      <c r="A44" s="65">
        <v>38</v>
      </c>
      <c r="B44" s="83" t="s">
        <v>74</v>
      </c>
      <c r="C44" s="44" t="s">
        <v>30</v>
      </c>
      <c r="D44" s="45">
        <f t="shared" si="0"/>
        <v>1167.6666666666677</v>
      </c>
      <c r="E44" s="91"/>
      <c r="F44" s="91"/>
      <c r="G44" s="91"/>
      <c r="H44" s="46">
        <f t="shared" si="12"/>
        <v>1167.6666666666677</v>
      </c>
      <c r="I44" s="47">
        <f>H44*$D$66</f>
        <v>152.49726666666677</v>
      </c>
      <c r="J44" s="47">
        <f t="shared" si="13"/>
        <v>1015.1694000000009</v>
      </c>
      <c r="K44" s="48">
        <f t="shared" si="17"/>
        <v>113.49720000000011</v>
      </c>
      <c r="L44" s="45">
        <f t="shared" si="24"/>
        <v>194.53326666666683</v>
      </c>
      <c r="M44" s="45">
        <f t="shared" si="23"/>
        <v>11.671996000000009</v>
      </c>
      <c r="N44" s="49">
        <f t="shared" si="18"/>
        <v>339</v>
      </c>
      <c r="O44" s="49">
        <f t="shared" si="2"/>
        <v>70.060000000000059</v>
      </c>
      <c r="P44" s="48">
        <f t="shared" si="19"/>
        <v>8.6804340000000071</v>
      </c>
      <c r="Q44" s="48">
        <f t="shared" si="14"/>
        <v>7.8537260000000053</v>
      </c>
      <c r="R44" s="45">
        <f t="shared" si="20"/>
        <v>7.5781566666666738</v>
      </c>
      <c r="S44" s="50">
        <f t="shared" si="15"/>
        <v>1673.8718626666678</v>
      </c>
      <c r="T44" s="51">
        <f t="shared" si="3"/>
        <v>1920.5414460000013</v>
      </c>
      <c r="U44" s="52">
        <f t="shared" si="4"/>
        <v>71.13116466666672</v>
      </c>
      <c r="V44" s="53">
        <f t="shared" si="16"/>
        <v>8.89139558333334</v>
      </c>
      <c r="W44" s="55"/>
      <c r="X44" s="42">
        <f t="shared" si="5"/>
        <v>38</v>
      </c>
      <c r="Y44" s="56" t="str">
        <f t="shared" si="6"/>
        <v>Quispe Quispe Luis</v>
      </c>
      <c r="Z44" s="57">
        <f t="shared" si="7"/>
        <v>326.12813733333223</v>
      </c>
      <c r="AA44" s="58">
        <f>1775+100+125</f>
        <v>2000</v>
      </c>
      <c r="AB44" s="59">
        <f t="shared" si="8"/>
        <v>2246.6695833333333</v>
      </c>
      <c r="AC44" s="60">
        <f t="shared" si="9"/>
        <v>83.20998456790123</v>
      </c>
      <c r="AD44" s="61">
        <f t="shared" si="10"/>
        <v>10.401248070987654</v>
      </c>
      <c r="AF44" s="62">
        <f t="shared" si="11"/>
        <v>1.5098524876543158</v>
      </c>
      <c r="AG44" s="63"/>
      <c r="AH44" s="85"/>
      <c r="AI44" s="4"/>
    </row>
    <row r="45" spans="1:35">
      <c r="A45" s="42">
        <v>39</v>
      </c>
      <c r="B45" s="83" t="s">
        <v>75</v>
      </c>
      <c r="C45" s="44" t="s">
        <v>30</v>
      </c>
      <c r="D45" s="45">
        <f t="shared" si="0"/>
        <v>1167.6666666666677</v>
      </c>
      <c r="E45" s="91"/>
      <c r="F45" s="91"/>
      <c r="G45" s="91"/>
      <c r="H45" s="46">
        <f t="shared" si="12"/>
        <v>1167.6666666666677</v>
      </c>
      <c r="I45" s="74">
        <f>H45*D73</f>
        <v>136.50023333333345</v>
      </c>
      <c r="J45" s="47">
        <f t="shared" si="13"/>
        <v>1031.1664333333342</v>
      </c>
      <c r="K45" s="48">
        <f t="shared" si="17"/>
        <v>113.49720000000011</v>
      </c>
      <c r="L45" s="45">
        <f>(D45+E45+F45)*(16.66%)</f>
        <v>194.53326666666683</v>
      </c>
      <c r="M45" s="45">
        <f t="shared" si="23"/>
        <v>11.671996000000009</v>
      </c>
      <c r="N45" s="49">
        <f t="shared" si="18"/>
        <v>339</v>
      </c>
      <c r="O45" s="49">
        <f t="shared" si="2"/>
        <v>70.060000000000059</v>
      </c>
      <c r="P45" s="48">
        <f t="shared" si="19"/>
        <v>8.6804340000000071</v>
      </c>
      <c r="Q45" s="48">
        <f t="shared" si="14"/>
        <v>7.8537260000000053</v>
      </c>
      <c r="R45" s="45">
        <f t="shared" si="20"/>
        <v>7.5781566666666738</v>
      </c>
      <c r="S45" s="50">
        <f t="shared" si="15"/>
        <v>1689.8688960000011</v>
      </c>
      <c r="T45" s="51">
        <f t="shared" si="3"/>
        <v>1920.5414460000013</v>
      </c>
      <c r="U45" s="52">
        <f t="shared" si="4"/>
        <v>71.13116466666672</v>
      </c>
      <c r="V45" s="53">
        <f t="shared" si="16"/>
        <v>8.89139558333334</v>
      </c>
      <c r="W45" s="55"/>
      <c r="X45" s="42">
        <f t="shared" si="5"/>
        <v>39</v>
      </c>
      <c r="Y45" s="56" t="str">
        <f t="shared" si="6"/>
        <v>Reynoso Gamero Rufino</v>
      </c>
      <c r="Z45" s="57">
        <f t="shared" si="7"/>
        <v>310.13110399999891</v>
      </c>
      <c r="AA45" s="58">
        <f>1775+100+125</f>
        <v>2000</v>
      </c>
      <c r="AB45" s="59">
        <f t="shared" si="8"/>
        <v>2230.6725500000002</v>
      </c>
      <c r="AC45" s="60">
        <f t="shared" si="9"/>
        <v>82.617501851851856</v>
      </c>
      <c r="AD45" s="61">
        <f t="shared" si="10"/>
        <v>10.327187731481482</v>
      </c>
      <c r="AF45" s="62">
        <f t="shared" si="11"/>
        <v>1.435792148148143</v>
      </c>
      <c r="AG45" s="63"/>
      <c r="AH45" s="85"/>
      <c r="AI45" s="4"/>
    </row>
    <row r="46" spans="1:35">
      <c r="A46" s="65">
        <v>40</v>
      </c>
      <c r="B46" s="83" t="s">
        <v>76</v>
      </c>
      <c r="C46" s="75" t="s">
        <v>40</v>
      </c>
      <c r="D46" s="45">
        <f t="shared" si="0"/>
        <v>1167.6666666666677</v>
      </c>
      <c r="E46" s="91"/>
      <c r="F46" s="67">
        <v>113</v>
      </c>
      <c r="G46" s="67"/>
      <c r="H46" s="46">
        <f t="shared" si="12"/>
        <v>1280.6666666666677</v>
      </c>
      <c r="I46" s="76">
        <f>H46*$D$64</f>
        <v>165.46213333333347</v>
      </c>
      <c r="J46" s="47">
        <f t="shared" si="13"/>
        <v>1115.2045333333342</v>
      </c>
      <c r="K46" s="48">
        <f t="shared" si="17"/>
        <v>124.4808000000001</v>
      </c>
      <c r="L46" s="45">
        <f t="shared" si="24"/>
        <v>213.35906666666682</v>
      </c>
      <c r="M46" s="45">
        <f t="shared" si="23"/>
        <v>12.801544000000009</v>
      </c>
      <c r="N46" s="49">
        <f t="shared" si="18"/>
        <v>339</v>
      </c>
      <c r="O46" s="49">
        <f t="shared" si="2"/>
        <v>76.84000000000006</v>
      </c>
      <c r="P46" s="48">
        <f t="shared" si="19"/>
        <v>9.5204760000000075</v>
      </c>
      <c r="Q46" s="48">
        <f t="shared" si="14"/>
        <v>8.6137640000000051</v>
      </c>
      <c r="R46" s="45">
        <f t="shared" si="20"/>
        <v>8.3115266666666745</v>
      </c>
      <c r="S46" s="50">
        <f t="shared" si="15"/>
        <v>1804.8459440000011</v>
      </c>
      <c r="T46" s="51">
        <f t="shared" si="3"/>
        <v>2073.5938440000018</v>
      </c>
      <c r="U46" s="52">
        <f t="shared" si="4"/>
        <v>76.799772000000061</v>
      </c>
      <c r="V46" s="53">
        <f t="shared" si="16"/>
        <v>9.5999715000000077</v>
      </c>
      <c r="W46" s="55"/>
      <c r="X46" s="42">
        <f t="shared" si="5"/>
        <v>40</v>
      </c>
      <c r="Y46" s="89" t="str">
        <f t="shared" si="6"/>
        <v xml:space="preserve">Rivera Ramos Elmer Delis </v>
      </c>
      <c r="Z46" s="57">
        <f t="shared" si="7"/>
        <v>385.15405599999895</v>
      </c>
      <c r="AA46" s="58">
        <f>1925+140+125</f>
        <v>2190</v>
      </c>
      <c r="AB46" s="59">
        <f t="shared" si="8"/>
        <v>2458.7479000000008</v>
      </c>
      <c r="AC46" s="60">
        <f t="shared" si="9"/>
        <v>91.064737037037062</v>
      </c>
      <c r="AD46" s="61">
        <f t="shared" si="10"/>
        <v>11.383092129629633</v>
      </c>
      <c r="AF46" s="62">
        <f t="shared" si="11"/>
        <v>1.7831206296296247</v>
      </c>
      <c r="AG46" s="63"/>
      <c r="AH46" s="64"/>
      <c r="AI46" s="4"/>
    </row>
    <row r="47" spans="1:35">
      <c r="A47" s="42">
        <v>41</v>
      </c>
      <c r="B47" s="92" t="s">
        <v>77</v>
      </c>
      <c r="C47" s="44" t="s">
        <v>30</v>
      </c>
      <c r="D47" s="45">
        <f t="shared" si="0"/>
        <v>1167.6666666666677</v>
      </c>
      <c r="E47" s="91"/>
      <c r="F47" s="67"/>
      <c r="G47" s="67"/>
      <c r="H47" s="46">
        <f t="shared" si="12"/>
        <v>1167.6666666666677</v>
      </c>
      <c r="I47" s="74">
        <f>H47*D73</f>
        <v>136.50023333333345</v>
      </c>
      <c r="J47" s="47">
        <f t="shared" si="13"/>
        <v>1031.1664333333342</v>
      </c>
      <c r="K47" s="48">
        <f t="shared" si="17"/>
        <v>113.49720000000011</v>
      </c>
      <c r="L47" s="45">
        <f t="shared" si="24"/>
        <v>194.53326666666683</v>
      </c>
      <c r="M47" s="45">
        <f t="shared" si="23"/>
        <v>11.671996000000009</v>
      </c>
      <c r="N47" s="49">
        <f t="shared" si="18"/>
        <v>339</v>
      </c>
      <c r="O47" s="49">
        <f t="shared" si="2"/>
        <v>70.060000000000059</v>
      </c>
      <c r="P47" s="48">
        <f t="shared" si="19"/>
        <v>8.6804340000000071</v>
      </c>
      <c r="Q47" s="48">
        <f t="shared" si="14"/>
        <v>7.8537260000000053</v>
      </c>
      <c r="R47" s="45">
        <f t="shared" si="20"/>
        <v>7.5781566666666738</v>
      </c>
      <c r="S47" s="50">
        <f t="shared" si="15"/>
        <v>1689.8688960000011</v>
      </c>
      <c r="T47" s="51">
        <f t="shared" si="3"/>
        <v>1920.5414460000013</v>
      </c>
      <c r="U47" s="52">
        <f t="shared" si="4"/>
        <v>71.13116466666672</v>
      </c>
      <c r="V47" s="53">
        <f t="shared" si="16"/>
        <v>8.89139558333334</v>
      </c>
      <c r="W47" s="55"/>
      <c r="X47" s="42">
        <f t="shared" si="5"/>
        <v>41</v>
      </c>
      <c r="Y47" s="56" t="str">
        <f t="shared" si="6"/>
        <v>Soncco Soncco, Santos Evaristo</v>
      </c>
      <c r="Z47" s="57">
        <f t="shared" si="7"/>
        <v>460.13110399999891</v>
      </c>
      <c r="AA47" s="58">
        <f>1925+100+125</f>
        <v>2150</v>
      </c>
      <c r="AB47" s="59">
        <f t="shared" si="8"/>
        <v>2380.6725500000002</v>
      </c>
      <c r="AC47" s="60">
        <f t="shared" si="9"/>
        <v>88.173057407407413</v>
      </c>
      <c r="AD47" s="61">
        <f t="shared" si="10"/>
        <v>11.021632175925927</v>
      </c>
      <c r="AF47" s="62">
        <f t="shared" si="11"/>
        <v>2.1302365925925875</v>
      </c>
      <c r="AG47" s="63"/>
      <c r="AH47" s="85"/>
      <c r="AI47" s="4"/>
    </row>
    <row r="48" spans="1:35">
      <c r="A48" s="65">
        <v>42</v>
      </c>
      <c r="B48" s="92" t="s">
        <v>78</v>
      </c>
      <c r="C48" s="73" t="s">
        <v>38</v>
      </c>
      <c r="D48" s="45">
        <f t="shared" si="0"/>
        <v>1167.6666666666677</v>
      </c>
      <c r="E48" s="91"/>
      <c r="F48" s="67">
        <v>113</v>
      </c>
      <c r="G48" s="67"/>
      <c r="H48" s="46">
        <f t="shared" si="12"/>
        <v>1280.6666666666677</v>
      </c>
      <c r="I48" s="74">
        <f>H48*$E$69</f>
        <v>166.48666666666679</v>
      </c>
      <c r="J48" s="47">
        <f t="shared" si="13"/>
        <v>1114.1800000000007</v>
      </c>
      <c r="K48" s="48">
        <f t="shared" si="17"/>
        <v>124.4808000000001</v>
      </c>
      <c r="L48" s="45">
        <f t="shared" si="24"/>
        <v>213.35906666666682</v>
      </c>
      <c r="M48" s="45">
        <f t="shared" si="23"/>
        <v>12.801544000000009</v>
      </c>
      <c r="N48" s="49">
        <f t="shared" si="18"/>
        <v>339</v>
      </c>
      <c r="O48" s="49">
        <f t="shared" si="2"/>
        <v>76.84000000000006</v>
      </c>
      <c r="P48" s="48">
        <f t="shared" si="19"/>
        <v>9.5204760000000075</v>
      </c>
      <c r="Q48" s="48">
        <f t="shared" si="14"/>
        <v>8.6137640000000051</v>
      </c>
      <c r="R48" s="45">
        <f t="shared" si="20"/>
        <v>8.3115266666666745</v>
      </c>
      <c r="S48" s="50">
        <f t="shared" si="15"/>
        <v>1803.8214106666676</v>
      </c>
      <c r="T48" s="51">
        <f t="shared" si="3"/>
        <v>2073.5938440000018</v>
      </c>
      <c r="U48" s="52">
        <f t="shared" si="4"/>
        <v>76.799772000000061</v>
      </c>
      <c r="V48" s="53">
        <f t="shared" si="16"/>
        <v>9.5999715000000077</v>
      </c>
      <c r="W48" s="55"/>
      <c r="X48" s="42">
        <f t="shared" si="5"/>
        <v>42</v>
      </c>
      <c r="Y48" s="56" t="str">
        <f t="shared" si="6"/>
        <v>Ttito Tapara, Jose Pascual</v>
      </c>
      <c r="Z48" s="57">
        <f t="shared" si="7"/>
        <v>346.17858933333241</v>
      </c>
      <c r="AA48" s="58">
        <f>1925+100+125</f>
        <v>2150</v>
      </c>
      <c r="AB48" s="59">
        <f t="shared" si="8"/>
        <v>2419.7724333333344</v>
      </c>
      <c r="AC48" s="60">
        <f t="shared" si="9"/>
        <v>89.621201234567948</v>
      </c>
      <c r="AD48" s="61">
        <f t="shared" si="10"/>
        <v>11.202650154320994</v>
      </c>
      <c r="AF48" s="62">
        <f t="shared" si="11"/>
        <v>1.6026786543209834</v>
      </c>
      <c r="AG48" s="63"/>
      <c r="AH48" s="85"/>
      <c r="AI48" s="4"/>
    </row>
    <row r="49" spans="1:35">
      <c r="A49" s="42">
        <v>43</v>
      </c>
      <c r="B49" s="92" t="s">
        <v>79</v>
      </c>
      <c r="C49" s="77" t="s">
        <v>43</v>
      </c>
      <c r="D49" s="45">
        <f t="shared" si="0"/>
        <v>1167.6666666666677</v>
      </c>
      <c r="E49" s="67"/>
      <c r="F49" s="67">
        <v>113</v>
      </c>
      <c r="G49" s="67"/>
      <c r="H49" s="46">
        <f t="shared" si="12"/>
        <v>1280.6666666666677</v>
      </c>
      <c r="I49" s="78">
        <f>H49*$E$71</f>
        <v>145.6118000000001</v>
      </c>
      <c r="J49" s="47">
        <f t="shared" si="13"/>
        <v>1135.0548666666675</v>
      </c>
      <c r="K49" s="48">
        <f>((D49+E49+F49)*(9.72%))</f>
        <v>124.4808000000001</v>
      </c>
      <c r="L49" s="45">
        <f t="shared" si="24"/>
        <v>213.35906666666682</v>
      </c>
      <c r="M49" s="45">
        <f t="shared" si="23"/>
        <v>12.801544000000009</v>
      </c>
      <c r="N49" s="49">
        <f t="shared" si="18"/>
        <v>339</v>
      </c>
      <c r="O49" s="49">
        <f t="shared" si="2"/>
        <v>76.84000000000006</v>
      </c>
      <c r="P49" s="48">
        <f t="shared" si="19"/>
        <v>9.5204760000000075</v>
      </c>
      <c r="Q49" s="48">
        <f t="shared" si="14"/>
        <v>8.6137640000000051</v>
      </c>
      <c r="R49" s="45">
        <f t="shared" si="20"/>
        <v>8.3115266666666745</v>
      </c>
      <c r="S49" s="50">
        <f t="shared" si="15"/>
        <v>1824.6962773333344</v>
      </c>
      <c r="T49" s="51">
        <f t="shared" si="3"/>
        <v>2073.5938440000018</v>
      </c>
      <c r="U49" s="52">
        <f t="shared" si="4"/>
        <v>76.799772000000061</v>
      </c>
      <c r="V49" s="53">
        <f t="shared" si="16"/>
        <v>9.5999715000000077</v>
      </c>
      <c r="W49" s="55"/>
      <c r="X49" s="42">
        <f t="shared" si="5"/>
        <v>43</v>
      </c>
      <c r="Y49" s="56" t="str">
        <f t="shared" si="6"/>
        <v>Turpo Quispe Yury</v>
      </c>
      <c r="Z49" s="57">
        <f t="shared" si="7"/>
        <v>325.30372266666564</v>
      </c>
      <c r="AA49" s="58">
        <f>1925+100+125</f>
        <v>2150</v>
      </c>
      <c r="AB49" s="59">
        <f t="shared" si="8"/>
        <v>2398.8975666666674</v>
      </c>
      <c r="AC49" s="60">
        <f t="shared" si="9"/>
        <v>88.848058024691383</v>
      </c>
      <c r="AD49" s="61">
        <f t="shared" si="10"/>
        <v>11.106007253086423</v>
      </c>
      <c r="AF49" s="62">
        <f t="shared" si="11"/>
        <v>1.506035753086415</v>
      </c>
      <c r="AG49" s="63"/>
      <c r="AH49" s="85"/>
      <c r="AI49" s="4"/>
    </row>
    <row r="50" spans="1:35">
      <c r="A50" s="65">
        <v>44</v>
      </c>
      <c r="B50" s="83" t="s">
        <v>80</v>
      </c>
      <c r="C50" s="44" t="s">
        <v>30</v>
      </c>
      <c r="D50" s="45">
        <f t="shared" si="0"/>
        <v>1167.6666666666677</v>
      </c>
      <c r="E50" s="91"/>
      <c r="F50" s="67">
        <v>113</v>
      </c>
      <c r="G50" s="67"/>
      <c r="H50" s="46">
        <f t="shared" si="12"/>
        <v>1280.6666666666677</v>
      </c>
      <c r="I50" s="47">
        <f>H50*$D$66</f>
        <v>167.25506666666678</v>
      </c>
      <c r="J50" s="47">
        <f t="shared" si="13"/>
        <v>1113.4116000000008</v>
      </c>
      <c r="K50" s="48">
        <f t="shared" si="17"/>
        <v>124.4808000000001</v>
      </c>
      <c r="L50" s="45">
        <f t="shared" si="24"/>
        <v>213.35906666666682</v>
      </c>
      <c r="M50" s="45">
        <f t="shared" si="23"/>
        <v>12.801544000000009</v>
      </c>
      <c r="N50" s="49">
        <f t="shared" si="18"/>
        <v>339</v>
      </c>
      <c r="O50" s="49">
        <f t="shared" si="2"/>
        <v>76.84000000000006</v>
      </c>
      <c r="P50" s="48">
        <f t="shared" si="19"/>
        <v>9.5204760000000075</v>
      </c>
      <c r="Q50" s="48">
        <f t="shared" si="14"/>
        <v>8.6137640000000051</v>
      </c>
      <c r="R50" s="45">
        <f t="shared" si="20"/>
        <v>8.3115266666666745</v>
      </c>
      <c r="S50" s="50">
        <f t="shared" si="15"/>
        <v>1803.0530106666677</v>
      </c>
      <c r="T50" s="51">
        <f t="shared" si="3"/>
        <v>2073.5938440000018</v>
      </c>
      <c r="U50" s="52">
        <f t="shared" si="4"/>
        <v>76.799772000000061</v>
      </c>
      <c r="V50" s="53">
        <f t="shared" si="16"/>
        <v>9.5999715000000077</v>
      </c>
      <c r="W50" s="55"/>
      <c r="X50" s="42">
        <f t="shared" si="5"/>
        <v>44</v>
      </c>
      <c r="Y50" s="84" t="str">
        <f t="shared" si="6"/>
        <v>Zea Mamani, Ignacio</v>
      </c>
      <c r="Z50" s="57">
        <f t="shared" si="7"/>
        <v>386.94698933333234</v>
      </c>
      <c r="AA50" s="58">
        <f>1925+140+125</f>
        <v>2190</v>
      </c>
      <c r="AB50" s="59">
        <f t="shared" si="8"/>
        <v>2460.5408333333344</v>
      </c>
      <c r="AC50" s="60">
        <f t="shared" si="9"/>
        <v>91.13114197530868</v>
      </c>
      <c r="AD50" s="61">
        <f t="shared" si="10"/>
        <v>11.391392746913585</v>
      </c>
      <c r="AF50" s="62">
        <f t="shared" si="11"/>
        <v>1.7914212469135757</v>
      </c>
      <c r="AG50" s="63"/>
      <c r="AH50" s="85"/>
      <c r="AI50" s="4"/>
    </row>
    <row r="51" spans="1:35">
      <c r="A51" s="42">
        <v>45</v>
      </c>
      <c r="B51" s="93" t="s">
        <v>81</v>
      </c>
      <c r="C51" s="77" t="s">
        <v>43</v>
      </c>
      <c r="D51" s="45">
        <f t="shared" si="0"/>
        <v>1167.6666666666677</v>
      </c>
      <c r="E51" s="91"/>
      <c r="F51" s="67">
        <v>113</v>
      </c>
      <c r="G51" s="67">
        <v>103.58</v>
      </c>
      <c r="H51" s="46">
        <f t="shared" si="12"/>
        <v>1384.2466666666676</v>
      </c>
      <c r="I51" s="78">
        <f>H51*$E$71</f>
        <v>157.38884600000009</v>
      </c>
      <c r="J51" s="47">
        <f t="shared" si="13"/>
        <v>1226.8578206666675</v>
      </c>
      <c r="K51" s="48">
        <f>((D51+E51+F51)*(9.72%))</f>
        <v>124.4808000000001</v>
      </c>
      <c r="L51" s="45">
        <f>(D51+E51+F51)*(16.66%)</f>
        <v>213.35906666666682</v>
      </c>
      <c r="M51" s="45">
        <f t="shared" si="23"/>
        <v>12.801544000000009</v>
      </c>
      <c r="N51" s="49">
        <f t="shared" si="18"/>
        <v>339</v>
      </c>
      <c r="O51" s="49">
        <f>H51*6%</f>
        <v>83.054800000000057</v>
      </c>
      <c r="P51" s="48">
        <f>((H51*(0.63%))*1.18)</f>
        <v>10.290489720000007</v>
      </c>
      <c r="Q51" s="48">
        <f t="shared" si="14"/>
        <v>9.3104430800000042</v>
      </c>
      <c r="R51" s="45">
        <f>(H51*(0.55%))*1.18</f>
        <v>8.9837608666666728</v>
      </c>
      <c r="S51" s="50">
        <f t="shared" si="15"/>
        <v>1916.4992313333344</v>
      </c>
      <c r="T51" s="51">
        <f t="shared" si="3"/>
        <v>2185.527571000001</v>
      </c>
      <c r="U51" s="52">
        <f t="shared" si="4"/>
        <v>80.945465592592626</v>
      </c>
      <c r="V51" s="53">
        <f t="shared" si="16"/>
        <v>10.118183199074078</v>
      </c>
      <c r="W51" s="55"/>
      <c r="X51" s="42">
        <f t="shared" si="5"/>
        <v>45</v>
      </c>
      <c r="Y51" s="94" t="str">
        <f t="shared" si="6"/>
        <v>Chile Yareta Justino</v>
      </c>
      <c r="Z51" s="57">
        <f t="shared" si="7"/>
        <v>231.50076866666564</v>
      </c>
      <c r="AA51" s="58">
        <f>1923+100+125</f>
        <v>2148</v>
      </c>
      <c r="AB51" s="59">
        <f t="shared" si="8"/>
        <v>2417.0283396666664</v>
      </c>
      <c r="AC51" s="60">
        <f t="shared" si="9"/>
        <v>89.519568135802459</v>
      </c>
      <c r="AD51" s="61">
        <f>+AC51/8</f>
        <v>11.189946016975307</v>
      </c>
      <c r="AF51" s="62">
        <f t="shared" si="11"/>
        <v>1.0717628179012297</v>
      </c>
      <c r="AG51" s="63"/>
      <c r="AH51" s="64"/>
      <c r="AI51" s="4"/>
    </row>
    <row r="52" spans="1:35">
      <c r="A52" s="65">
        <v>46</v>
      </c>
      <c r="B52" s="83" t="s">
        <v>82</v>
      </c>
      <c r="C52" s="77" t="s">
        <v>43</v>
      </c>
      <c r="D52" s="45">
        <f t="shared" si="0"/>
        <v>1167.6666666666677</v>
      </c>
      <c r="E52" s="91"/>
      <c r="F52" s="67"/>
      <c r="G52" s="95"/>
      <c r="H52" s="46">
        <f t="shared" si="12"/>
        <v>1167.6666666666677</v>
      </c>
      <c r="I52" s="78">
        <f>H52*$E$71</f>
        <v>132.76370000000011</v>
      </c>
      <c r="J52" s="47">
        <f t="shared" si="13"/>
        <v>1034.9029666666675</v>
      </c>
      <c r="K52" s="48">
        <f>((D52+E52+F52)*(9.72%))</f>
        <v>113.49720000000011</v>
      </c>
      <c r="L52" s="45">
        <f>(D52+E52+F52)*(16.66%)</f>
        <v>194.53326666666683</v>
      </c>
      <c r="M52" s="45">
        <f t="shared" si="23"/>
        <v>11.671996000000009</v>
      </c>
      <c r="N52" s="49">
        <f t="shared" si="18"/>
        <v>339</v>
      </c>
      <c r="O52" s="49">
        <f>H52*6%</f>
        <v>70.060000000000059</v>
      </c>
      <c r="P52" s="48">
        <f>((H52*(0.63%))*1.18)</f>
        <v>8.6804340000000071</v>
      </c>
      <c r="Q52" s="48">
        <f t="shared" si="14"/>
        <v>7.8537260000000053</v>
      </c>
      <c r="R52" s="45">
        <f>(H52*(0.55%))*1.18</f>
        <v>7.5781566666666738</v>
      </c>
      <c r="S52" s="50">
        <f t="shared" si="15"/>
        <v>1693.6054293333343</v>
      </c>
      <c r="T52" s="51">
        <f t="shared" si="3"/>
        <v>1920.5414460000013</v>
      </c>
      <c r="U52" s="52">
        <f t="shared" si="4"/>
        <v>71.13116466666672</v>
      </c>
      <c r="V52" s="53">
        <f t="shared" si="16"/>
        <v>8.89139558333334</v>
      </c>
      <c r="W52" s="55"/>
      <c r="X52" s="42">
        <f t="shared" si="5"/>
        <v>46</v>
      </c>
      <c r="Y52" s="84" t="str">
        <f t="shared" si="6"/>
        <v>Diaz Chipana Walter</v>
      </c>
      <c r="Z52" s="57">
        <f t="shared" si="7"/>
        <v>496.39457066666569</v>
      </c>
      <c r="AA52" s="58">
        <f>1925+140+125</f>
        <v>2190</v>
      </c>
      <c r="AB52" s="59">
        <f t="shared" si="8"/>
        <v>2416.936016666667</v>
      </c>
      <c r="AC52" s="60">
        <f t="shared" si="9"/>
        <v>89.516148765432106</v>
      </c>
      <c r="AD52" s="61">
        <f>+AC52/8</f>
        <v>11.189518595679013</v>
      </c>
      <c r="AF52" s="62">
        <f t="shared" si="11"/>
        <v>2.2981230123456746</v>
      </c>
      <c r="AG52" s="63"/>
      <c r="AH52" s="64"/>
      <c r="AI52" s="4"/>
    </row>
    <row r="53" spans="1:35">
      <c r="A53" s="42">
        <v>47</v>
      </c>
      <c r="B53" s="93" t="s">
        <v>83</v>
      </c>
      <c r="C53" s="77" t="s">
        <v>43</v>
      </c>
      <c r="D53" s="45">
        <f t="shared" si="0"/>
        <v>1167.6666666666677</v>
      </c>
      <c r="E53" s="91"/>
      <c r="F53" s="67"/>
      <c r="G53" s="67">
        <v>94.16</v>
      </c>
      <c r="H53" s="46">
        <f t="shared" si="12"/>
        <v>1261.8266666666677</v>
      </c>
      <c r="I53" s="78">
        <f>H53*$E$71</f>
        <v>143.46969200000012</v>
      </c>
      <c r="J53" s="47">
        <f t="shared" si="13"/>
        <v>1118.3569746666676</v>
      </c>
      <c r="K53" s="48">
        <f>((D53+E53+F53)*(9.72%))</f>
        <v>113.49720000000011</v>
      </c>
      <c r="L53" s="45">
        <f>(D53+E53+F53)*(16.66%)</f>
        <v>194.53326666666683</v>
      </c>
      <c r="M53" s="45">
        <f t="shared" si="23"/>
        <v>11.671996000000009</v>
      </c>
      <c r="N53" s="49">
        <f t="shared" si="18"/>
        <v>339</v>
      </c>
      <c r="O53" s="49">
        <f>H53*6%</f>
        <v>75.709600000000066</v>
      </c>
      <c r="P53" s="48">
        <f>((H53*(0.63%))*1.18)</f>
        <v>9.3804194400000078</v>
      </c>
      <c r="Q53" s="48">
        <f t="shared" si="14"/>
        <v>8.4870461600000056</v>
      </c>
      <c r="R53" s="45">
        <f>(H53*(0.55%))*1.18</f>
        <v>8.189255066666675</v>
      </c>
      <c r="S53" s="50">
        <f t="shared" si="15"/>
        <v>1777.0594373333345</v>
      </c>
      <c r="T53" s="51">
        <f t="shared" si="3"/>
        <v>2022.2954500000014</v>
      </c>
      <c r="U53" s="52">
        <f t="shared" si="4"/>
        <v>74.899831481481542</v>
      </c>
      <c r="V53" s="53">
        <f t="shared" si="16"/>
        <v>9.3624789351851927</v>
      </c>
      <c r="W53" s="55"/>
      <c r="X53" s="42">
        <f t="shared" si="5"/>
        <v>47</v>
      </c>
      <c r="Y53" s="94" t="str">
        <f t="shared" si="6"/>
        <v>Quispe Gutierrez Leonardo</v>
      </c>
      <c r="Z53" s="57">
        <f t="shared" si="7"/>
        <v>370.94056266666553</v>
      </c>
      <c r="AA53" s="58">
        <f>1923+100+125</f>
        <v>2148</v>
      </c>
      <c r="AB53" s="59">
        <f t="shared" si="8"/>
        <v>2393.2360126666672</v>
      </c>
      <c r="AC53" s="60">
        <f t="shared" si="9"/>
        <v>88.638370839506194</v>
      </c>
      <c r="AD53" s="61">
        <f>+AC53/8</f>
        <v>11.079796354938274</v>
      </c>
      <c r="AF53" s="62">
        <f t="shared" si="11"/>
        <v>1.7173174197530812</v>
      </c>
      <c r="AG53" s="63"/>
      <c r="AH53" s="64"/>
      <c r="AI53" s="4"/>
    </row>
    <row r="54" spans="1:35">
      <c r="A54" s="65">
        <v>48</v>
      </c>
      <c r="B54" s="93" t="s">
        <v>84</v>
      </c>
      <c r="C54" s="77" t="s">
        <v>43</v>
      </c>
      <c r="D54" s="45">
        <f t="shared" si="0"/>
        <v>1167.6666666666677</v>
      </c>
      <c r="E54" s="91"/>
      <c r="F54" s="67">
        <v>113</v>
      </c>
      <c r="G54" s="67">
        <v>103.58</v>
      </c>
      <c r="H54" s="46">
        <f t="shared" si="12"/>
        <v>1384.2466666666676</v>
      </c>
      <c r="I54" s="78">
        <f>H54*$E$71</f>
        <v>157.38884600000009</v>
      </c>
      <c r="J54" s="47">
        <f t="shared" si="13"/>
        <v>1226.8578206666675</v>
      </c>
      <c r="K54" s="48">
        <f>((D54+E54+F54)*(9.72%))</f>
        <v>124.4808000000001</v>
      </c>
      <c r="L54" s="45">
        <f>(D54+E54+F54)*(16.66%)</f>
        <v>213.35906666666682</v>
      </c>
      <c r="M54" s="45">
        <f>L54*6%</f>
        <v>12.801544000000009</v>
      </c>
      <c r="N54" s="49">
        <f>(1130*30%)/(30)*30</f>
        <v>339</v>
      </c>
      <c r="O54" s="49">
        <f>H54*6%</f>
        <v>83.054800000000057</v>
      </c>
      <c r="P54" s="48">
        <f>((H54*(0.63%))*1.18)</f>
        <v>10.290489720000007</v>
      </c>
      <c r="Q54" s="48">
        <f t="shared" si="14"/>
        <v>9.3104430800000042</v>
      </c>
      <c r="R54" s="45">
        <f>(H54*(0.55%))*1.18</f>
        <v>8.9837608666666728</v>
      </c>
      <c r="S54" s="50">
        <f t="shared" si="15"/>
        <v>1916.4992313333344</v>
      </c>
      <c r="T54" s="51">
        <f t="shared" si="3"/>
        <v>2185.527571000001</v>
      </c>
      <c r="U54" s="52">
        <f t="shared" si="4"/>
        <v>80.945465592592626</v>
      </c>
      <c r="V54" s="53">
        <f t="shared" si="16"/>
        <v>10.118183199074078</v>
      </c>
      <c r="W54" s="55"/>
      <c r="X54" s="42">
        <f t="shared" si="5"/>
        <v>48</v>
      </c>
      <c r="Y54" s="94" t="str">
        <f t="shared" si="6"/>
        <v>Santiago Espinoza  Yovani</v>
      </c>
      <c r="Z54" s="57">
        <f t="shared" si="7"/>
        <v>231.50076866666564</v>
      </c>
      <c r="AA54" s="58">
        <f>1923+100+125</f>
        <v>2148</v>
      </c>
      <c r="AB54" s="59">
        <f t="shared" si="8"/>
        <v>2417.0283396666664</v>
      </c>
      <c r="AC54" s="60">
        <f t="shared" si="9"/>
        <v>89.519568135802459</v>
      </c>
      <c r="AD54" s="61">
        <f>+AC54/8</f>
        <v>11.189946016975307</v>
      </c>
      <c r="AF54" s="62">
        <f t="shared" si="11"/>
        <v>1.0717628179012297</v>
      </c>
      <c r="AG54" s="63"/>
      <c r="AH54" s="64"/>
      <c r="AI54" s="4"/>
    </row>
    <row r="55" spans="1:35">
      <c r="A55" s="96"/>
      <c r="B55" s="97"/>
      <c r="C55" s="98"/>
      <c r="D55" s="99"/>
      <c r="E55" s="100"/>
      <c r="F55" s="101"/>
      <c r="G55" s="101"/>
      <c r="H55" s="101"/>
      <c r="I55" s="101"/>
      <c r="J55" s="101"/>
      <c r="K55" s="102"/>
      <c r="L55" s="99"/>
      <c r="M55" s="99"/>
      <c r="N55" s="99"/>
      <c r="O55" s="99"/>
      <c r="P55" s="102"/>
      <c r="Q55" s="102"/>
      <c r="R55" s="99"/>
      <c r="S55" s="103"/>
      <c r="T55" s="104"/>
      <c r="U55" s="105"/>
      <c r="V55" s="54"/>
      <c r="W55" s="55"/>
      <c r="X55" s="96"/>
      <c r="Y55" s="106"/>
      <c r="Z55" s="107"/>
      <c r="AA55" s="108"/>
      <c r="AB55" s="9"/>
      <c r="AC55" s="109"/>
      <c r="AD55" s="64"/>
      <c r="AF55" s="9"/>
      <c r="AG55" s="9"/>
      <c r="AH55" s="85"/>
      <c r="AI55" s="4"/>
    </row>
    <row r="56" spans="1:35">
      <c r="A56" s="110"/>
      <c r="B56" s="97"/>
      <c r="C56" s="111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AI56" s="1"/>
    </row>
    <row r="57" spans="1:35">
      <c r="A57" s="110"/>
      <c r="B57" s="97"/>
      <c r="C57" s="11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4"/>
      <c r="U57" s="113"/>
    </row>
    <row r="58" spans="1:35">
      <c r="A58" s="16"/>
      <c r="B58" s="17"/>
      <c r="C58" s="111"/>
      <c r="D58" s="169">
        <f>SUM(D7:D54)</f>
        <v>56047.999999999985</v>
      </c>
      <c r="E58" s="169">
        <f t="shared" ref="E58:V58" si="25">SUM(E7:E54)</f>
        <v>259.66989999999998</v>
      </c>
      <c r="F58" s="169">
        <f t="shared" si="25"/>
        <v>2486</v>
      </c>
      <c r="G58" s="169">
        <f t="shared" si="25"/>
        <v>602.64</v>
      </c>
      <c r="H58" s="169">
        <f>SUM(H7:H54)</f>
        <v>59396.309899999986</v>
      </c>
      <c r="I58" s="169">
        <f t="shared" si="25"/>
        <v>6987.5644902733384</v>
      </c>
      <c r="J58" s="169"/>
      <c r="K58" s="170">
        <f t="shared" si="25"/>
        <v>5714.7447142800056</v>
      </c>
      <c r="L58" s="170">
        <f t="shared" si="25"/>
        <v>9795.0254053400095</v>
      </c>
      <c r="M58" s="170">
        <f t="shared" si="25"/>
        <v>587.70152432040106</v>
      </c>
      <c r="N58" s="170">
        <f t="shared" si="25"/>
        <v>16260.7</v>
      </c>
      <c r="O58" s="170">
        <f>SUM(O7:O54)</f>
        <v>3563.7785940000026</v>
      </c>
      <c r="P58" s="170">
        <f>SUM(P7:P54)</f>
        <v>441.55216779660032</v>
      </c>
      <c r="Q58" s="170">
        <f>SUM(Q7:Q54)</f>
        <v>399.49958038740021</v>
      </c>
      <c r="R58" s="170">
        <f>SUM(R7:R54)</f>
        <v>385.4820512510006</v>
      </c>
      <c r="S58" s="170">
        <f t="shared" si="25"/>
        <v>84766.91705366713</v>
      </c>
      <c r="T58" s="171">
        <f>SUM(T7:T54)</f>
        <v>96544.793937375507</v>
      </c>
      <c r="U58" s="169">
        <f t="shared" si="25"/>
        <v>3575.7331087916832</v>
      </c>
      <c r="V58" s="169">
        <f t="shared" si="25"/>
        <v>446.9666385989604</v>
      </c>
      <c r="W58" s="114"/>
      <c r="X58" s="115"/>
      <c r="Z58" s="172">
        <f>SUM(Z7:Z54)</f>
        <v>18932.082946332888</v>
      </c>
      <c r="AA58" s="172">
        <f>SUM(AA7:AA54)</f>
        <v>103699</v>
      </c>
      <c r="AB58" s="172">
        <f>SUM(AB7:AB54)</f>
        <v>115476.87688370835</v>
      </c>
      <c r="AC58" s="172">
        <f>SUM(AC7:AC55)</f>
        <v>4276.9213660632731</v>
      </c>
      <c r="AD58" s="172">
        <f>SUM(AD7:AD55)</f>
        <v>534.61517075790914</v>
      </c>
      <c r="AE58" s="172"/>
      <c r="AF58" s="172">
        <f>SUM(AF7:AF54)</f>
        <v>87.648532158948498</v>
      </c>
      <c r="AG58" s="172">
        <f>SUM(AG7:AG54)</f>
        <v>0</v>
      </c>
    </row>
    <row r="59" spans="1:35">
      <c r="D59" s="116"/>
      <c r="E59" s="117"/>
      <c r="F59" s="116"/>
      <c r="G59" s="116"/>
      <c r="H59" s="116"/>
      <c r="I59" s="116"/>
      <c r="J59" s="116"/>
      <c r="K59" s="10"/>
      <c r="L59" s="118"/>
      <c r="M59" s="117"/>
      <c r="N59" s="117"/>
      <c r="O59" s="117"/>
      <c r="P59" s="117"/>
      <c r="Q59" s="117"/>
      <c r="R59" s="117"/>
      <c r="S59" s="5"/>
      <c r="T59" s="119"/>
      <c r="U59" s="120"/>
      <c r="V59" s="120"/>
    </row>
    <row r="60" spans="1:35">
      <c r="D60" s="6"/>
      <c r="E60" s="6"/>
      <c r="F60" s="6"/>
      <c r="G60" s="6"/>
      <c r="H60" s="7"/>
      <c r="I60" s="6"/>
      <c r="J60" s="6"/>
      <c r="K60" s="6"/>
      <c r="L60" s="8"/>
      <c r="M60" s="8"/>
      <c r="N60" s="8"/>
      <c r="O60" s="8"/>
      <c r="P60" s="8"/>
      <c r="Q60" s="8"/>
      <c r="R60" s="8"/>
      <c r="S60" s="121"/>
      <c r="T60" s="122">
        <f>+T58</f>
        <v>96544.793937375507</v>
      </c>
      <c r="U60" s="123"/>
      <c r="V60" s="54"/>
      <c r="AF60" s="9"/>
      <c r="AI60" s="3"/>
    </row>
    <row r="61" spans="1:35" ht="14.4" thickBot="1">
      <c r="L61" s="3"/>
      <c r="M61" s="3"/>
      <c r="N61" s="3"/>
      <c r="O61" s="3"/>
      <c r="P61" s="3"/>
      <c r="Q61" s="3"/>
      <c r="R61" s="3"/>
      <c r="S61" s="121"/>
      <c r="T61" s="124">
        <f>Z58</f>
        <v>18932.082946332888</v>
      </c>
      <c r="U61" s="125"/>
      <c r="V61" s="54"/>
      <c r="Z61" s="7"/>
    </row>
    <row r="62" spans="1:35" ht="14.4" thickBot="1">
      <c r="C62" s="224" t="s">
        <v>85</v>
      </c>
      <c r="D62" s="225"/>
      <c r="E62" s="226"/>
      <c r="F62" s="11"/>
      <c r="G62" s="11"/>
      <c r="H62" s="11"/>
      <c r="I62" s="11"/>
      <c r="J62" s="11"/>
      <c r="K62" s="126"/>
      <c r="S62" s="127"/>
      <c r="T62" s="128">
        <f>AB58</f>
        <v>115476.87688370835</v>
      </c>
      <c r="U62" s="129"/>
    </row>
    <row r="63" spans="1:35" ht="14.4" thickBot="1">
      <c r="C63" s="130" t="s">
        <v>86</v>
      </c>
      <c r="D63" s="131" t="s">
        <v>87</v>
      </c>
      <c r="E63" s="131" t="s">
        <v>88</v>
      </c>
      <c r="F63" s="11"/>
      <c r="G63" s="11"/>
      <c r="H63" s="11"/>
      <c r="I63" s="11"/>
      <c r="J63" s="11"/>
      <c r="K63" s="126"/>
      <c r="L63" s="11"/>
      <c r="M63" s="11"/>
      <c r="N63" s="11"/>
      <c r="O63" s="11"/>
      <c r="P63" s="11"/>
      <c r="Q63" s="11"/>
      <c r="R63" s="11"/>
    </row>
    <row r="64" spans="1:35">
      <c r="B64" s="132"/>
      <c r="C64" s="133" t="s">
        <v>40</v>
      </c>
      <c r="D64" s="134">
        <v>0.12920000000000001</v>
      </c>
      <c r="E64" s="135"/>
      <c r="F64" s="12"/>
      <c r="G64" s="12"/>
      <c r="H64" s="12"/>
      <c r="I64" s="12"/>
      <c r="J64" s="12"/>
      <c r="K64" s="136"/>
      <c r="L64" s="137"/>
      <c r="M64" s="137"/>
      <c r="N64" s="137"/>
      <c r="O64" s="137"/>
      <c r="P64" s="137"/>
      <c r="Q64" s="137"/>
      <c r="R64" s="137"/>
    </row>
    <row r="65" spans="2:19">
      <c r="B65" s="138"/>
      <c r="C65" s="139" t="s">
        <v>89</v>
      </c>
      <c r="D65" s="140">
        <v>0.12970000000000001</v>
      </c>
      <c r="E65" s="141"/>
      <c r="F65" s="13"/>
      <c r="G65" s="13"/>
      <c r="H65" s="13"/>
      <c r="I65" s="13"/>
      <c r="J65" s="13"/>
      <c r="K65" s="142"/>
      <c r="L65" s="143"/>
      <c r="M65" s="143"/>
      <c r="N65" s="143"/>
      <c r="O65" s="143"/>
      <c r="P65" s="143"/>
      <c r="Q65" s="143"/>
      <c r="R65" s="143"/>
      <c r="S65" s="144"/>
    </row>
    <row r="66" spans="2:19">
      <c r="B66" s="145"/>
      <c r="C66" s="146" t="s">
        <v>30</v>
      </c>
      <c r="D66" s="147">
        <v>0.13059999999999999</v>
      </c>
      <c r="E66" s="141"/>
      <c r="F66" s="11"/>
      <c r="G66" s="11"/>
      <c r="H66" s="11"/>
      <c r="I66" s="14"/>
      <c r="J66" s="14"/>
      <c r="K66" s="148"/>
      <c r="L66" s="149"/>
      <c r="M66" s="149"/>
      <c r="N66" s="149"/>
      <c r="O66" s="149"/>
      <c r="P66" s="149"/>
      <c r="Q66" s="149"/>
      <c r="R66" s="149"/>
    </row>
    <row r="67" spans="2:19">
      <c r="B67" s="138"/>
      <c r="C67" s="139" t="s">
        <v>90</v>
      </c>
      <c r="D67" s="150">
        <v>0.12840000000000001</v>
      </c>
      <c r="E67" s="141"/>
      <c r="F67" s="11"/>
      <c r="G67" s="11"/>
      <c r="H67" s="11"/>
      <c r="I67" s="14"/>
      <c r="J67" s="14"/>
      <c r="K67" s="148"/>
      <c r="L67" s="149"/>
      <c r="M67" s="149"/>
      <c r="N67" s="149"/>
      <c r="O67" s="149"/>
      <c r="P67" s="149"/>
      <c r="Q67" s="149"/>
      <c r="R67" s="149"/>
    </row>
    <row r="68" spans="2:19">
      <c r="B68" s="151"/>
      <c r="C68" s="68" t="s">
        <v>34</v>
      </c>
      <c r="D68" s="152"/>
      <c r="E68" s="153">
        <v>0.1137</v>
      </c>
      <c r="F68" s="11"/>
      <c r="G68" s="11"/>
      <c r="H68" s="11"/>
      <c r="I68" s="11"/>
      <c r="J68" s="11"/>
      <c r="K68" s="154"/>
      <c r="L68" s="155"/>
    </row>
    <row r="69" spans="2:19">
      <c r="B69" s="138"/>
      <c r="C69" s="139" t="s">
        <v>38</v>
      </c>
      <c r="D69" s="156">
        <v>0.13</v>
      </c>
      <c r="E69" s="157">
        <v>0.13</v>
      </c>
      <c r="F69" s="11"/>
      <c r="G69" s="11"/>
      <c r="H69" s="11"/>
      <c r="I69" s="11"/>
      <c r="J69" s="11"/>
      <c r="K69" s="126"/>
    </row>
    <row r="70" spans="2:19">
      <c r="B70" s="158"/>
      <c r="C70" s="159" t="s">
        <v>36</v>
      </c>
      <c r="D70" s="160"/>
      <c r="E70" s="160">
        <v>0.1137</v>
      </c>
      <c r="F70" s="11"/>
      <c r="G70" s="14"/>
      <c r="H70" s="11"/>
      <c r="I70" s="11"/>
      <c r="J70" s="11"/>
      <c r="K70" s="126"/>
    </row>
    <row r="71" spans="2:19" ht="14.4" thickBot="1">
      <c r="B71" s="161"/>
      <c r="C71" s="162" t="s">
        <v>43</v>
      </c>
      <c r="D71" s="163"/>
      <c r="E71" s="164">
        <v>0.1137</v>
      </c>
      <c r="F71" s="11"/>
      <c r="G71" s="11"/>
      <c r="H71" s="11"/>
      <c r="I71" s="11"/>
      <c r="J71" s="11"/>
      <c r="K71" s="126"/>
    </row>
    <row r="72" spans="2:19" ht="14.4" thickBot="1">
      <c r="B72" s="165"/>
      <c r="C72" s="166" t="s">
        <v>49</v>
      </c>
      <c r="D72" s="167"/>
      <c r="E72" s="168">
        <v>0.1137</v>
      </c>
      <c r="F72" s="11"/>
      <c r="G72" s="11"/>
      <c r="H72" s="11"/>
      <c r="I72" s="11"/>
      <c r="J72" s="11"/>
      <c r="K72" s="126"/>
    </row>
    <row r="73" spans="2:19">
      <c r="C73" s="146" t="s">
        <v>30</v>
      </c>
      <c r="D73" s="147">
        <v>0.1169</v>
      </c>
      <c r="E73" s="2" t="s">
        <v>91</v>
      </c>
      <c r="F73" s="11"/>
      <c r="G73" s="11"/>
      <c r="H73" s="11"/>
      <c r="I73" s="11"/>
      <c r="J73" s="11"/>
      <c r="K73" s="126"/>
    </row>
    <row r="74" spans="2:19" ht="14.4" thickBot="1">
      <c r="C74" s="162" t="s">
        <v>43</v>
      </c>
      <c r="D74" s="164">
        <f>11.84%-1.84%</f>
        <v>0.1</v>
      </c>
      <c r="E74" s="2" t="s">
        <v>91</v>
      </c>
    </row>
  </sheetData>
  <mergeCells count="27">
    <mergeCell ref="AF3:AI3"/>
    <mergeCell ref="I5:I6"/>
    <mergeCell ref="X5:X6"/>
    <mergeCell ref="Y5:Y6"/>
    <mergeCell ref="J5:J6"/>
    <mergeCell ref="X3:AD3"/>
    <mergeCell ref="C62:E62"/>
    <mergeCell ref="H5:H6"/>
    <mergeCell ref="D5:G5"/>
    <mergeCell ref="C5:C6"/>
    <mergeCell ref="B5:B6"/>
    <mergeCell ref="AF5:AF6"/>
    <mergeCell ref="AG5:AG6"/>
    <mergeCell ref="X4:AD4"/>
    <mergeCell ref="K5:N5"/>
    <mergeCell ref="O5:R5"/>
    <mergeCell ref="A4:V4"/>
    <mergeCell ref="AD5:AD6"/>
    <mergeCell ref="AC5:AC6"/>
    <mergeCell ref="AB5:AB6"/>
    <mergeCell ref="AA5:AA6"/>
    <mergeCell ref="Z5:Z6"/>
    <mergeCell ref="A5:A6"/>
    <mergeCell ref="V5:V6"/>
    <mergeCell ref="U5:U6"/>
    <mergeCell ref="T5:T6"/>
    <mergeCell ref="S5:S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DFAF-1FFB-473B-B602-BC103D13D6F0}">
  <dimension ref="A1:AX67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G7" sqref="AG7"/>
    </sheetView>
  </sheetViews>
  <sheetFormatPr baseColWidth="10" defaultRowHeight="13.8" outlineLevelCol="1"/>
  <cols>
    <col min="1" max="1" width="4.33203125" style="6" customWidth="1" outlineLevel="1"/>
    <col min="2" max="2" width="28.88671875" style="2" customWidth="1" outlineLevel="1"/>
    <col min="3" max="5" width="8.44140625" style="2" customWidth="1" outlineLevel="1"/>
    <col min="6" max="21" width="5.77734375" style="2" customWidth="1" outlineLevel="1"/>
    <col min="22" max="22" width="11.21875" style="2" customWidth="1" outlineLevel="1"/>
    <col min="23" max="25" width="8.44140625" style="2" customWidth="1" outlineLevel="1"/>
    <col min="26" max="27" width="11" style="2" customWidth="1" outlineLevel="1"/>
    <col min="28" max="33" width="13.5546875" style="2" customWidth="1" outlineLevel="1"/>
    <col min="34" max="38" width="11.44140625" style="2" customWidth="1" outlineLevel="1"/>
    <col min="39" max="39" width="12.88671875" style="2" bestFit="1" customWidth="1" outlineLevel="1"/>
    <col min="40" max="42" width="10.33203125" style="2" customWidth="1" outlineLevel="1"/>
    <col min="43" max="43" width="10.33203125" style="3" customWidth="1" outlineLevel="1"/>
    <col min="44" max="44" width="11.5546875" style="2"/>
    <col min="45" max="49" width="7.77734375" style="2" customWidth="1"/>
    <col min="50" max="16384" width="11.5546875" style="2"/>
  </cols>
  <sheetData>
    <row r="1" spans="1:50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8"/>
      <c r="AI1" s="18"/>
      <c r="AJ1" s="18"/>
      <c r="AK1" s="18"/>
      <c r="AL1" s="18"/>
      <c r="AM1" s="18"/>
      <c r="AN1" s="18"/>
      <c r="AO1" s="18"/>
      <c r="AP1" s="19">
        <f>AP2*8</f>
        <v>216</v>
      </c>
      <c r="AQ1" s="20" t="s">
        <v>1</v>
      </c>
    </row>
    <row r="2" spans="1:50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25">
        <v>27</v>
      </c>
      <c r="AQ2" s="26" t="s">
        <v>97</v>
      </c>
    </row>
    <row r="3" spans="1:50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8">
        <v>31</v>
      </c>
      <c r="AQ3" s="29" t="s">
        <v>98</v>
      </c>
    </row>
    <row r="4" spans="1:50" ht="20.399999999999999" customHeight="1">
      <c r="A4" s="216" t="s">
        <v>92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</row>
    <row r="5" spans="1:50" ht="15" customHeight="1">
      <c r="A5" s="237" t="s">
        <v>6</v>
      </c>
      <c r="B5" s="237" t="s">
        <v>7</v>
      </c>
      <c r="C5" s="239" t="s">
        <v>8</v>
      </c>
      <c r="D5" s="232" t="s">
        <v>167</v>
      </c>
      <c r="E5" s="232"/>
      <c r="F5" s="311" t="s">
        <v>182</v>
      </c>
      <c r="G5" s="312"/>
      <c r="H5" s="312"/>
      <c r="I5" s="312"/>
      <c r="J5" s="312"/>
      <c r="K5" s="312"/>
      <c r="L5" s="312"/>
      <c r="M5" s="312"/>
      <c r="N5" s="314" t="s">
        <v>189</v>
      </c>
      <c r="O5" s="314"/>
      <c r="P5" s="314"/>
      <c r="Q5" s="314"/>
      <c r="R5" s="314"/>
      <c r="S5" s="314"/>
      <c r="T5" s="314"/>
      <c r="U5" s="314"/>
      <c r="V5" s="307"/>
      <c r="W5" s="307"/>
      <c r="X5" s="308"/>
      <c r="Y5" s="234" t="s">
        <v>143</v>
      </c>
      <c r="Z5" s="235"/>
      <c r="AA5" s="235"/>
      <c r="AB5" s="235"/>
      <c r="AC5" s="235"/>
      <c r="AD5" s="235"/>
      <c r="AE5" s="235"/>
      <c r="AF5" s="235"/>
      <c r="AG5" s="236"/>
      <c r="AH5" s="241" t="s">
        <v>144</v>
      </c>
      <c r="AI5" s="242"/>
      <c r="AJ5" s="242"/>
      <c r="AK5" s="242"/>
      <c r="AL5" s="243"/>
      <c r="AM5" s="244" t="s">
        <v>174</v>
      </c>
      <c r="AN5" s="233" t="s">
        <v>102</v>
      </c>
      <c r="AO5" s="233"/>
      <c r="AP5" s="233"/>
      <c r="AQ5" s="233"/>
    </row>
    <row r="6" spans="1:50" ht="132.6" customHeight="1">
      <c r="A6" s="238"/>
      <c r="B6" s="238"/>
      <c r="C6" s="240"/>
      <c r="D6" s="38" t="s">
        <v>164</v>
      </c>
      <c r="E6" s="38" t="s">
        <v>166</v>
      </c>
      <c r="F6" s="309" t="s">
        <v>180</v>
      </c>
      <c r="G6" s="309" t="s">
        <v>181</v>
      </c>
      <c r="H6" s="309" t="s">
        <v>188</v>
      </c>
      <c r="I6" s="309" t="s">
        <v>187</v>
      </c>
      <c r="J6" s="309" t="s">
        <v>186</v>
      </c>
      <c r="K6" s="309" t="s">
        <v>185</v>
      </c>
      <c r="L6" s="309" t="s">
        <v>184</v>
      </c>
      <c r="M6" s="310" t="s">
        <v>183</v>
      </c>
      <c r="N6" s="313" t="s">
        <v>190</v>
      </c>
      <c r="O6" s="313" t="s">
        <v>191</v>
      </c>
      <c r="P6" s="313" t="s">
        <v>192</v>
      </c>
      <c r="Q6" s="313" t="s">
        <v>193</v>
      </c>
      <c r="R6" s="313" t="s">
        <v>194</v>
      </c>
      <c r="S6" s="313" t="s">
        <v>195</v>
      </c>
      <c r="T6" s="313" t="s">
        <v>196</v>
      </c>
      <c r="U6" s="313" t="s">
        <v>197</v>
      </c>
      <c r="V6" s="184" t="s">
        <v>134</v>
      </c>
      <c r="W6" s="184" t="s">
        <v>103</v>
      </c>
      <c r="X6" s="184" t="s">
        <v>135</v>
      </c>
      <c r="Y6" s="173" t="s">
        <v>163</v>
      </c>
      <c r="Z6" s="182" t="s">
        <v>136</v>
      </c>
      <c r="AA6" s="185" t="s">
        <v>137</v>
      </c>
      <c r="AB6" s="185" t="s">
        <v>142</v>
      </c>
      <c r="AC6" s="209" t="s">
        <v>179</v>
      </c>
      <c r="AD6" s="185" t="s">
        <v>138</v>
      </c>
      <c r="AE6" s="185" t="s">
        <v>140</v>
      </c>
      <c r="AF6" s="185" t="s">
        <v>139</v>
      </c>
      <c r="AG6" s="185" t="s">
        <v>141</v>
      </c>
      <c r="AH6" s="186" t="s">
        <v>145</v>
      </c>
      <c r="AI6" s="187" t="s">
        <v>146</v>
      </c>
      <c r="AJ6" s="187" t="s">
        <v>147</v>
      </c>
      <c r="AK6" s="187" t="s">
        <v>149</v>
      </c>
      <c r="AL6" s="187" t="s">
        <v>148</v>
      </c>
      <c r="AM6" s="245"/>
      <c r="AN6" s="206" t="s">
        <v>175</v>
      </c>
      <c r="AO6" s="206" t="s">
        <v>176</v>
      </c>
      <c r="AP6" s="34" t="s">
        <v>177</v>
      </c>
      <c r="AQ6" s="207" t="s">
        <v>178</v>
      </c>
    </row>
    <row r="7" spans="1:50">
      <c r="A7" s="42">
        <v>1</v>
      </c>
      <c r="B7" s="43" t="s">
        <v>29</v>
      </c>
      <c r="C7" s="44" t="s">
        <v>30</v>
      </c>
      <c r="D7" s="202"/>
      <c r="E7" s="202"/>
      <c r="F7" s="315"/>
      <c r="G7" s="315"/>
      <c r="H7" s="315"/>
      <c r="I7" s="315"/>
      <c r="J7" s="315"/>
      <c r="K7" s="315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181">
        <f>SUM(L7:Q7)</f>
        <v>0</v>
      </c>
      <c r="W7" s="181">
        <f t="shared" ref="W7:W54" si="0">$AP$3-V7</f>
        <v>31</v>
      </c>
      <c r="X7" s="181">
        <f>'REPORTE DIARIO'!AI7</f>
        <v>216</v>
      </c>
      <c r="Y7" s="181">
        <f>PROYECTADA!G7</f>
        <v>0</v>
      </c>
      <c r="Z7" s="181">
        <f>1130/30*Q7</f>
        <v>0</v>
      </c>
      <c r="AA7" s="181">
        <f>PROYECTADA!D7/$AP$1*PLAME!X7</f>
        <v>1167.6666666666677</v>
      </c>
      <c r="AB7" s="181">
        <f>PROYECTADA!F7/$AP$3*($AP$3-L7)</f>
        <v>0</v>
      </c>
      <c r="AC7" s="210">
        <f>SUM(Z7:AB7)</f>
        <v>1167.6666666666677</v>
      </c>
      <c r="AD7" s="181">
        <f t="shared" ref="AD7:AD17" si="1">6%*AF7</f>
        <v>11.671996000000009</v>
      </c>
      <c r="AE7" s="181">
        <f t="shared" ref="AE7:AE34" si="2">((30%*1130)/$AP$3)*($AP$3-L7)</f>
        <v>339</v>
      </c>
      <c r="AF7" s="181">
        <f>16.66%*AC7</f>
        <v>194.53326666666683</v>
      </c>
      <c r="AG7" s="181">
        <f>9.72%*AC7</f>
        <v>113.49720000000011</v>
      </c>
      <c r="AH7" s="45">
        <f>IF(OR(D7="SI", C7="SNP"), 0, VLOOKUP(C7, tbl_descuentos[], 2, FALSE) * SUM(Y7:AB7))</f>
        <v>19.733566666666682</v>
      </c>
      <c r="AI7" s="46">
        <v>0</v>
      </c>
      <c r="AJ7" s="46">
        <f>IF(OR(D7="SI", C7="SNP"), 0, VLOOKUP(C7, tbl_descuentos[], IF(E7 &gt; 65, 4, 3), FALSE) * SUM(Y7:AB7))</f>
        <v>15.997033333333347</v>
      </c>
      <c r="AK7" s="46">
        <f>IF(D7="SI",0,IF(C7="SNP",13%*SUM(Y7:AB7),0))</f>
        <v>0</v>
      </c>
      <c r="AL7" s="46">
        <f t="shared" ref="AL7:AL54" si="3">IF(C7="SNP",0,IF(D7="SI",0,10%*(AC7+Y7)))</f>
        <v>116.76666666666677</v>
      </c>
      <c r="AM7" s="208">
        <f>SUMPRODUCT(ROUND(Y7:AB7, 2)) + SUMPRODUCT(ROUND(AD7:AG7, 2)) - SUMPRODUCT(ROUND(AH7:AL7, 2))</f>
        <v>1673.8700000000001</v>
      </c>
      <c r="AN7" s="46">
        <f>PROYECTADA!P7</f>
        <v>9.6096840000000068</v>
      </c>
      <c r="AO7" s="46">
        <f>6%*SUM(Y7:AB7)</f>
        <v>70.060000000000059</v>
      </c>
      <c r="AP7" s="45">
        <f>PROYECTADA!Q7</f>
        <v>8.6944760000000052</v>
      </c>
      <c r="AQ7" s="67">
        <f>PROYECTADA!R7</f>
        <v>8.3894066666666731</v>
      </c>
      <c r="AT7" s="1"/>
      <c r="AV7" s="1"/>
      <c r="AW7" s="1"/>
      <c r="AX7" s="2" t="str">
        <f t="shared" ref="AX7:AX33" si="4">IF(AND(AM7=AS7,AN7,AT7,AO7,AU7,AP7,AV7,AQ7,AW7),"OK","ERROR")</f>
        <v>ERROR</v>
      </c>
    </row>
    <row r="8" spans="1:50">
      <c r="A8" s="65">
        <v>2</v>
      </c>
      <c r="B8" s="66" t="s">
        <v>31</v>
      </c>
      <c r="C8" s="44" t="s">
        <v>30</v>
      </c>
      <c r="D8" s="202"/>
      <c r="E8" s="202"/>
      <c r="F8" s="315"/>
      <c r="G8" s="315"/>
      <c r="H8" s="315"/>
      <c r="I8" s="315"/>
      <c r="J8" s="315"/>
      <c r="K8" s="315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181">
        <f t="shared" ref="V8:V54" si="5">SUM(L8:Q8)</f>
        <v>0</v>
      </c>
      <c r="W8" s="181">
        <f t="shared" si="0"/>
        <v>31</v>
      </c>
      <c r="X8" s="181">
        <f>'REPORTE DIARIO'!AI8</f>
        <v>216</v>
      </c>
      <c r="Y8" s="181">
        <f>PROYECTADA!G8</f>
        <v>0</v>
      </c>
      <c r="Z8" s="181">
        <f t="shared" ref="Z8:Z54" si="6">1130/30*Q8</f>
        <v>0</v>
      </c>
      <c r="AA8" s="181">
        <f>PROYECTADA!D8/$AP$1*PLAME!X8</f>
        <v>1167.6666666666677</v>
      </c>
      <c r="AB8" s="181">
        <f>PROYECTADA!F8/$AP$3*($AP$3-L8)</f>
        <v>0</v>
      </c>
      <c r="AC8" s="210">
        <f t="shared" ref="AC8:AC54" si="7">SUM(Z8:AB8)</f>
        <v>1167.6666666666677</v>
      </c>
      <c r="AD8" s="181">
        <f t="shared" si="1"/>
        <v>11.671996000000009</v>
      </c>
      <c r="AE8" s="181">
        <f t="shared" si="2"/>
        <v>339</v>
      </c>
      <c r="AF8" s="181">
        <f t="shared" ref="AF8:AF54" si="8">16.66%*AC8</f>
        <v>194.53326666666683</v>
      </c>
      <c r="AG8" s="181">
        <f t="shared" ref="AG8:AG54" si="9">9.72%*AC8</f>
        <v>113.49720000000011</v>
      </c>
      <c r="AH8" s="45">
        <f>IF(OR(D8="SI", C8="SNP"), 0, VLOOKUP(C8, tbl_descuentos[], 2, FALSE) * SUM(Y8:AB8))</f>
        <v>19.733566666666682</v>
      </c>
      <c r="AI8" s="46">
        <v>0</v>
      </c>
      <c r="AJ8" s="46">
        <f>IF(OR(D8="SI", C8="SNP"), 0, VLOOKUP(C8, tbl_descuentos[], IF(E8 &gt; 65, 4, 3), FALSE) * SUM(Y8:AB8))</f>
        <v>15.997033333333347</v>
      </c>
      <c r="AK8" s="46">
        <f t="shared" ref="AK8:AK54" si="10">IF(D8="SI",0,IF(C8="SNP",13%*SUM(Y8:AB8),0))</f>
        <v>0</v>
      </c>
      <c r="AL8" s="46">
        <f t="shared" si="3"/>
        <v>116.76666666666677</v>
      </c>
      <c r="AM8" s="208">
        <f t="shared" ref="AM8:AM54" si="11">SUMPRODUCT(ROUND(Y8:AB8, 2)) + SUMPRODUCT(ROUND(AD8:AG8, 2)) - SUMPRODUCT(ROUND(AH8:AL8, 2))</f>
        <v>1673.8700000000001</v>
      </c>
      <c r="AN8" s="46">
        <f>PROYECTADA!P8</f>
        <v>8.6804340000000071</v>
      </c>
      <c r="AO8" s="46">
        <f t="shared" ref="AO8:AO54" si="12">6%*SUM(Y8:AB8)</f>
        <v>70.060000000000059</v>
      </c>
      <c r="AP8" s="45">
        <f>PROYECTADA!Q8</f>
        <v>7.8537260000000053</v>
      </c>
      <c r="AQ8" s="67">
        <f>PROYECTADA!R8</f>
        <v>7.5781566666666738</v>
      </c>
      <c r="AT8" s="1"/>
      <c r="AV8" s="1"/>
      <c r="AW8" s="1"/>
      <c r="AX8" s="2" t="str">
        <f t="shared" si="4"/>
        <v>ERROR</v>
      </c>
    </row>
    <row r="9" spans="1:50">
      <c r="A9" s="42">
        <v>3</v>
      </c>
      <c r="B9" s="66" t="s">
        <v>32</v>
      </c>
      <c r="C9" s="44" t="s">
        <v>30</v>
      </c>
      <c r="D9" s="202"/>
      <c r="E9" s="202"/>
      <c r="F9" s="315"/>
      <c r="G9" s="315"/>
      <c r="H9" s="315"/>
      <c r="I9" s="315"/>
      <c r="J9" s="315"/>
      <c r="K9" s="315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181">
        <f t="shared" si="5"/>
        <v>0</v>
      </c>
      <c r="W9" s="181">
        <f t="shared" si="0"/>
        <v>31</v>
      </c>
      <c r="X9" s="181">
        <f>'REPORTE DIARIO'!AI9</f>
        <v>216</v>
      </c>
      <c r="Y9" s="181">
        <f>PROYECTADA!G9</f>
        <v>0</v>
      </c>
      <c r="Z9" s="181">
        <f t="shared" si="6"/>
        <v>0</v>
      </c>
      <c r="AA9" s="181">
        <f>PROYECTADA!D9/$AP$1*PLAME!X9</f>
        <v>1167.6666666666677</v>
      </c>
      <c r="AB9" s="181">
        <f>PROYECTADA!F9/$AP$3*($AP$3-L9)</f>
        <v>0</v>
      </c>
      <c r="AC9" s="210">
        <f t="shared" si="7"/>
        <v>1167.6666666666677</v>
      </c>
      <c r="AD9" s="181">
        <f t="shared" si="1"/>
        <v>11.671996000000009</v>
      </c>
      <c r="AE9" s="181">
        <f t="shared" si="2"/>
        <v>339</v>
      </c>
      <c r="AF9" s="181">
        <f t="shared" si="8"/>
        <v>194.53326666666683</v>
      </c>
      <c r="AG9" s="181">
        <f t="shared" si="9"/>
        <v>113.49720000000011</v>
      </c>
      <c r="AH9" s="45">
        <f>IF(OR(D9="SI", C9="SNP"), 0, VLOOKUP(C9, tbl_descuentos[], 2, FALSE) * SUM(Y9:AB9))</f>
        <v>19.733566666666682</v>
      </c>
      <c r="AI9" s="46">
        <v>0</v>
      </c>
      <c r="AJ9" s="46">
        <f>IF(OR(D9="SI", C9="SNP"), 0, VLOOKUP(C9, tbl_descuentos[], IF(E9 &gt; 65, 4, 3), FALSE) * SUM(Y9:AB9))</f>
        <v>15.997033333333347</v>
      </c>
      <c r="AK9" s="46">
        <f t="shared" si="10"/>
        <v>0</v>
      </c>
      <c r="AL9" s="46">
        <f t="shared" si="3"/>
        <v>116.76666666666677</v>
      </c>
      <c r="AM9" s="208">
        <f t="shared" si="11"/>
        <v>1673.8700000000001</v>
      </c>
      <c r="AN9" s="46">
        <f>PROYECTADA!P9</f>
        <v>8.6804340000000071</v>
      </c>
      <c r="AO9" s="46">
        <f t="shared" si="12"/>
        <v>70.060000000000059</v>
      </c>
      <c r="AP9" s="45">
        <f>PROYECTADA!Q9</f>
        <v>7.8537260000000053</v>
      </c>
      <c r="AQ9" s="67">
        <f>PROYECTADA!R9</f>
        <v>7.5781566666666738</v>
      </c>
      <c r="AT9" s="1"/>
      <c r="AV9" s="1"/>
      <c r="AW9" s="1"/>
      <c r="AX9" s="2" t="str">
        <f t="shared" si="4"/>
        <v>ERROR</v>
      </c>
    </row>
    <row r="10" spans="1:50">
      <c r="A10" s="65">
        <v>4</v>
      </c>
      <c r="B10" s="66" t="s">
        <v>33</v>
      </c>
      <c r="C10" s="68" t="s">
        <v>34</v>
      </c>
      <c r="D10" s="202"/>
      <c r="E10" s="202"/>
      <c r="F10" s="315"/>
      <c r="G10" s="315"/>
      <c r="H10" s="315"/>
      <c r="I10" s="315"/>
      <c r="J10" s="315"/>
      <c r="K10" s="315"/>
      <c r="L10" s="316">
        <v>1</v>
      </c>
      <c r="M10" s="316"/>
      <c r="N10" s="316"/>
      <c r="O10" s="316"/>
      <c r="P10" s="316"/>
      <c r="Q10" s="316"/>
      <c r="R10" s="316"/>
      <c r="S10" s="316"/>
      <c r="T10" s="316"/>
      <c r="U10" s="316"/>
      <c r="V10" s="181">
        <f t="shared" si="5"/>
        <v>1</v>
      </c>
      <c r="W10" s="181">
        <f t="shared" si="0"/>
        <v>30</v>
      </c>
      <c r="X10" s="181">
        <f>'REPORTE DIARIO'!AI10</f>
        <v>208</v>
      </c>
      <c r="Y10" s="181">
        <f>PROYECTADA!G10</f>
        <v>0</v>
      </c>
      <c r="Z10" s="181">
        <f t="shared" si="6"/>
        <v>0</v>
      </c>
      <c r="AA10" s="181">
        <f>PROYECTADA!D10/$AP$1*PLAME!X10</f>
        <v>1124.4197530864205</v>
      </c>
      <c r="AB10" s="181">
        <f>PROYECTADA!F10/$AP$3*($AP$3-L10)</f>
        <v>0</v>
      </c>
      <c r="AC10" s="210">
        <f t="shared" si="7"/>
        <v>1124.4197530864205</v>
      </c>
      <c r="AD10" s="181">
        <f t="shared" si="1"/>
        <v>11.239699851851858</v>
      </c>
      <c r="AE10" s="181">
        <f t="shared" si="2"/>
        <v>328.06451612903226</v>
      </c>
      <c r="AF10" s="181">
        <f t="shared" si="8"/>
        <v>187.32833086419765</v>
      </c>
      <c r="AG10" s="181">
        <f t="shared" si="9"/>
        <v>109.29360000000008</v>
      </c>
      <c r="AH10" s="45">
        <f>IF(OR(D10="SI", C10="SNP"), 0, VLOOKUP(C10, tbl_descuentos[], 2, FALSE) * SUM(Y10:AB10))</f>
        <v>0</v>
      </c>
      <c r="AI10" s="46">
        <v>0</v>
      </c>
      <c r="AJ10" s="46">
        <f>IF(OR(D10="SI", C10="SNP"), 0, VLOOKUP(C10, tbl_descuentos[], IF(E10 &gt; 65, 4, 3), FALSE) * SUM(Y10:AB10))</f>
        <v>15.404550617283961</v>
      </c>
      <c r="AK10" s="46">
        <f t="shared" si="10"/>
        <v>0</v>
      </c>
      <c r="AL10" s="46">
        <f t="shared" si="3"/>
        <v>112.44197530864206</v>
      </c>
      <c r="AM10" s="208">
        <f t="shared" si="11"/>
        <v>1632.5000000000002</v>
      </c>
      <c r="AN10" s="46">
        <f>PROYECTADA!P10</f>
        <v>8.6804340000000071</v>
      </c>
      <c r="AO10" s="46">
        <f t="shared" si="12"/>
        <v>67.465185185185234</v>
      </c>
      <c r="AP10" s="45">
        <f>PROYECTADA!Q10</f>
        <v>7.8537260000000053</v>
      </c>
      <c r="AQ10" s="67">
        <f>PROYECTADA!R10</f>
        <v>7.5781566666666738</v>
      </c>
      <c r="AS10" s="2">
        <v>1632.5000000000002</v>
      </c>
      <c r="AT10" s="1">
        <v>8.6804340000000071</v>
      </c>
      <c r="AU10" s="2">
        <v>67.465185185185234</v>
      </c>
      <c r="AV10" s="1">
        <v>7.8537260000000053</v>
      </c>
      <c r="AW10" s="1">
        <v>7.5781566666666738</v>
      </c>
      <c r="AX10" s="2" t="str">
        <f t="shared" si="4"/>
        <v>OK</v>
      </c>
    </row>
    <row r="11" spans="1:50">
      <c r="A11" s="42">
        <v>5</v>
      </c>
      <c r="B11" s="66" t="s">
        <v>35</v>
      </c>
      <c r="C11" s="70" t="s">
        <v>36</v>
      </c>
      <c r="D11" s="202"/>
      <c r="E11" s="202"/>
      <c r="F11" s="315"/>
      <c r="G11" s="315"/>
      <c r="H11" s="315"/>
      <c r="I11" s="315"/>
      <c r="J11" s="315"/>
      <c r="K11" s="315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181">
        <f t="shared" si="5"/>
        <v>0</v>
      </c>
      <c r="W11" s="181">
        <f t="shared" si="0"/>
        <v>31</v>
      </c>
      <c r="X11" s="181">
        <f>'REPORTE DIARIO'!AI11</f>
        <v>210</v>
      </c>
      <c r="Y11" s="181">
        <f>PROYECTADA!G11</f>
        <v>0</v>
      </c>
      <c r="Z11" s="181">
        <f t="shared" si="6"/>
        <v>0</v>
      </c>
      <c r="AA11" s="181">
        <f>PROYECTADA!D11/$AP$1*PLAME!X11</f>
        <v>1135.2314814814824</v>
      </c>
      <c r="AB11" s="181">
        <f>PROYECTADA!F11/$AP$3*($AP$3-L11)</f>
        <v>113</v>
      </c>
      <c r="AC11" s="210">
        <f t="shared" si="7"/>
        <v>1248.2314814814824</v>
      </c>
      <c r="AD11" s="181">
        <f t="shared" si="1"/>
        <v>12.477321888888898</v>
      </c>
      <c r="AE11" s="181">
        <f t="shared" si="2"/>
        <v>339</v>
      </c>
      <c r="AF11" s="181">
        <f t="shared" si="8"/>
        <v>207.95536481481497</v>
      </c>
      <c r="AG11" s="181">
        <f t="shared" si="9"/>
        <v>121.32810000000011</v>
      </c>
      <c r="AH11" s="45">
        <f>IF(OR(D11="SI", C11="SNP"), 0, VLOOKUP(C11, tbl_descuentos[], 2, FALSE) * SUM(Y11:AB11))</f>
        <v>0</v>
      </c>
      <c r="AI11" s="46">
        <v>0</v>
      </c>
      <c r="AJ11" s="46">
        <f>IF(OR(D11="SI", C11="SNP"), 0, VLOOKUP(C11, tbl_descuentos[], IF(E11 &gt; 65, 4, 3), FALSE) * SUM(Y11:AB11))</f>
        <v>17.100771296296308</v>
      </c>
      <c r="AK11" s="46">
        <f t="shared" si="10"/>
        <v>0</v>
      </c>
      <c r="AL11" s="46">
        <f t="shared" si="3"/>
        <v>124.82314814814825</v>
      </c>
      <c r="AM11" s="208">
        <f t="shared" si="11"/>
        <v>1787.08</v>
      </c>
      <c r="AN11" s="46">
        <f>PROYECTADA!P11</f>
        <v>9.5204760000000075</v>
      </c>
      <c r="AO11" s="46">
        <f t="shared" si="12"/>
        <v>74.893888888888938</v>
      </c>
      <c r="AP11" s="45">
        <f>PROYECTADA!Q11</f>
        <v>8.6137640000000051</v>
      </c>
      <c r="AQ11" s="67">
        <f>PROYECTADA!R11</f>
        <v>8.3115266666666745</v>
      </c>
      <c r="AT11" s="1"/>
      <c r="AV11" s="1"/>
      <c r="AW11" s="1"/>
      <c r="AX11" s="2" t="str">
        <f t="shared" si="4"/>
        <v>ERROR</v>
      </c>
    </row>
    <row r="12" spans="1:50">
      <c r="A12" s="65">
        <v>6</v>
      </c>
      <c r="B12" s="72" t="s">
        <v>37</v>
      </c>
      <c r="C12" s="73" t="s">
        <v>38</v>
      </c>
      <c r="D12" s="202"/>
      <c r="E12" s="202"/>
      <c r="F12" s="315"/>
      <c r="G12" s="315"/>
      <c r="H12" s="315"/>
      <c r="I12" s="315"/>
      <c r="J12" s="315"/>
      <c r="K12" s="315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181">
        <f t="shared" si="5"/>
        <v>0</v>
      </c>
      <c r="W12" s="181">
        <f t="shared" si="0"/>
        <v>31</v>
      </c>
      <c r="X12" s="181">
        <f>'REPORTE DIARIO'!AI12</f>
        <v>216</v>
      </c>
      <c r="Y12" s="181">
        <f>PROYECTADA!G12</f>
        <v>0</v>
      </c>
      <c r="Z12" s="181">
        <f t="shared" si="6"/>
        <v>0</v>
      </c>
      <c r="AA12" s="181">
        <f>PROYECTADA!D12/$AP$1*PLAME!X12</f>
        <v>1167.6666666666677</v>
      </c>
      <c r="AB12" s="181">
        <f>PROYECTADA!F12/$AP$3*($AP$3-L12)</f>
        <v>0</v>
      </c>
      <c r="AC12" s="210">
        <f t="shared" si="7"/>
        <v>1167.6666666666677</v>
      </c>
      <c r="AD12" s="181">
        <f t="shared" si="1"/>
        <v>11.671996000000009</v>
      </c>
      <c r="AE12" s="181">
        <f t="shared" si="2"/>
        <v>339</v>
      </c>
      <c r="AF12" s="181">
        <f t="shared" si="8"/>
        <v>194.53326666666683</v>
      </c>
      <c r="AG12" s="181">
        <f t="shared" si="9"/>
        <v>113.49720000000011</v>
      </c>
      <c r="AH12" s="45">
        <f>IF(OR(D12="SI", C12="SNP"), 0, VLOOKUP(C12, tbl_descuentos[], 2, FALSE) * SUM(Y12:AB12))</f>
        <v>0</v>
      </c>
      <c r="AI12" s="46">
        <v>0</v>
      </c>
      <c r="AJ12" s="46">
        <f>IF(OR(D12="SI", C12="SNP"), 0, VLOOKUP(C12, tbl_descuentos[], IF(E12 &gt; 65, 4, 3), FALSE) * SUM(Y12:AB12))</f>
        <v>0</v>
      </c>
      <c r="AK12" s="46">
        <f t="shared" si="10"/>
        <v>151.79666666666679</v>
      </c>
      <c r="AL12" s="46">
        <f t="shared" si="3"/>
        <v>0</v>
      </c>
      <c r="AM12" s="208">
        <f t="shared" si="11"/>
        <v>1674.5700000000002</v>
      </c>
      <c r="AN12" s="46">
        <f>PROYECTADA!P12</f>
        <v>8.6804340000000071</v>
      </c>
      <c r="AO12" s="46">
        <f t="shared" si="12"/>
        <v>70.060000000000059</v>
      </c>
      <c r="AP12" s="45">
        <f>PROYECTADA!Q12</f>
        <v>7.8537260000000053</v>
      </c>
      <c r="AQ12" s="67">
        <f>PROYECTADA!R12</f>
        <v>7.5781566666666738</v>
      </c>
      <c r="AS12" s="2">
        <v>1674.5700000000002</v>
      </c>
      <c r="AT12" s="1">
        <v>8.6804340000000071</v>
      </c>
      <c r="AU12" s="2">
        <v>70.060000000000059</v>
      </c>
      <c r="AV12" s="1">
        <v>7.8537260000000053</v>
      </c>
      <c r="AW12" s="1">
        <v>7.5781566666666738</v>
      </c>
      <c r="AX12" s="2" t="str">
        <f t="shared" si="4"/>
        <v>OK</v>
      </c>
    </row>
    <row r="13" spans="1:50">
      <c r="A13" s="42">
        <v>7</v>
      </c>
      <c r="B13" s="72" t="s">
        <v>39</v>
      </c>
      <c r="C13" s="75" t="s">
        <v>40</v>
      </c>
      <c r="D13" s="202"/>
      <c r="E13" s="202"/>
      <c r="F13" s="315"/>
      <c r="G13" s="315"/>
      <c r="H13" s="315"/>
      <c r="I13" s="315"/>
      <c r="J13" s="315"/>
      <c r="K13" s="315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181">
        <f t="shared" si="5"/>
        <v>0</v>
      </c>
      <c r="W13" s="181">
        <f t="shared" si="0"/>
        <v>31</v>
      </c>
      <c r="X13" s="181">
        <f>'REPORTE DIARIO'!AI13</f>
        <v>184</v>
      </c>
      <c r="Y13" s="181">
        <f>PROYECTADA!G13</f>
        <v>0</v>
      </c>
      <c r="Z13" s="181">
        <f t="shared" si="6"/>
        <v>0</v>
      </c>
      <c r="AA13" s="181">
        <f>PROYECTADA!D13/$AP$1*PLAME!X13</f>
        <v>994.67901234567978</v>
      </c>
      <c r="AB13" s="181">
        <f>PROYECTADA!F13/$AP$3*($AP$3-L13)</f>
        <v>0</v>
      </c>
      <c r="AC13" s="210">
        <f t="shared" si="7"/>
        <v>994.67901234567978</v>
      </c>
      <c r="AD13" s="181">
        <f t="shared" si="1"/>
        <v>9.9428114074074152</v>
      </c>
      <c r="AE13" s="181">
        <f t="shared" si="2"/>
        <v>339</v>
      </c>
      <c r="AF13" s="181">
        <f t="shared" si="8"/>
        <v>165.71352345679026</v>
      </c>
      <c r="AG13" s="181">
        <f t="shared" si="9"/>
        <v>96.682800000000086</v>
      </c>
      <c r="AH13" s="45">
        <f>IF(OR(D13="SI", C13="SNP"), 0, VLOOKUP(C13, tbl_descuentos[], 2, FALSE) * SUM(Y13:AB13))</f>
        <v>15.417524691358036</v>
      </c>
      <c r="AI13" s="46">
        <v>0</v>
      </c>
      <c r="AJ13" s="46">
        <f>IF(OR(D13="SI", C13="SNP"), 0, VLOOKUP(C13, tbl_descuentos[], IF(E13 &gt; 65, 4, 3), FALSE) * SUM(Y13:AB13))</f>
        <v>13.627102469135814</v>
      </c>
      <c r="AK13" s="46">
        <f t="shared" si="10"/>
        <v>0</v>
      </c>
      <c r="AL13" s="46">
        <f t="shared" si="3"/>
        <v>99.467901234567989</v>
      </c>
      <c r="AM13" s="208">
        <f t="shared" si="11"/>
        <v>1477.4899999999998</v>
      </c>
      <c r="AN13" s="46">
        <f>PROYECTADA!P13</f>
        <v>8.6804340000000071</v>
      </c>
      <c r="AO13" s="46">
        <f t="shared" si="12"/>
        <v>59.680740740740788</v>
      </c>
      <c r="AP13" s="45">
        <f>PROYECTADA!Q13</f>
        <v>7.8537260000000053</v>
      </c>
      <c r="AQ13" s="67">
        <f>PROYECTADA!R13</f>
        <v>7.5781566666666738</v>
      </c>
      <c r="AT13" s="1"/>
      <c r="AV13" s="1"/>
      <c r="AW13" s="1"/>
      <c r="AX13" s="2" t="str">
        <f t="shared" si="4"/>
        <v>ERROR</v>
      </c>
    </row>
    <row r="14" spans="1:50">
      <c r="A14" s="65">
        <v>8</v>
      </c>
      <c r="B14" s="66" t="s">
        <v>41</v>
      </c>
      <c r="C14" s="44" t="s">
        <v>30</v>
      </c>
      <c r="D14" s="202"/>
      <c r="E14" s="202"/>
      <c r="F14" s="315"/>
      <c r="G14" s="315"/>
      <c r="H14" s="315"/>
      <c r="I14" s="315"/>
      <c r="J14" s="315"/>
      <c r="K14" s="315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181">
        <f t="shared" si="5"/>
        <v>0</v>
      </c>
      <c r="W14" s="181">
        <f t="shared" si="0"/>
        <v>31</v>
      </c>
      <c r="X14" s="181">
        <f>'REPORTE DIARIO'!AI14</f>
        <v>216</v>
      </c>
      <c r="Y14" s="181">
        <f>PROYECTADA!G14</f>
        <v>0</v>
      </c>
      <c r="Z14" s="181">
        <f t="shared" si="6"/>
        <v>0</v>
      </c>
      <c r="AA14" s="181">
        <f>PROYECTADA!D14/$AP$1*PLAME!X14</f>
        <v>1167.6666666666677</v>
      </c>
      <c r="AB14" s="181">
        <f>PROYECTADA!F14/$AP$3*($AP$3-L14)</f>
        <v>113</v>
      </c>
      <c r="AC14" s="210">
        <f t="shared" si="7"/>
        <v>1280.6666666666677</v>
      </c>
      <c r="AD14" s="181">
        <f t="shared" si="1"/>
        <v>12.801544000000009</v>
      </c>
      <c r="AE14" s="181">
        <f t="shared" si="2"/>
        <v>339</v>
      </c>
      <c r="AF14" s="181">
        <f t="shared" si="8"/>
        <v>213.35906666666682</v>
      </c>
      <c r="AG14" s="181">
        <f t="shared" si="9"/>
        <v>124.4808000000001</v>
      </c>
      <c r="AH14" s="45">
        <f>IF(OR(D14="SI", C14="SNP"), 0, VLOOKUP(C14, tbl_descuentos[], 2, FALSE) * SUM(Y14:AB14))</f>
        <v>21.64326666666668</v>
      </c>
      <c r="AI14" s="46">
        <v>0</v>
      </c>
      <c r="AJ14" s="46">
        <f>IF(OR(D14="SI", C14="SNP"), 0, VLOOKUP(C14, tbl_descuentos[], IF(E14 &gt; 65, 4, 3), FALSE) * SUM(Y14:AB14))</f>
        <v>17.545133333333347</v>
      </c>
      <c r="AK14" s="46">
        <f t="shared" si="10"/>
        <v>0</v>
      </c>
      <c r="AL14" s="46">
        <f t="shared" si="3"/>
        <v>128.06666666666678</v>
      </c>
      <c r="AM14" s="208">
        <f t="shared" si="11"/>
        <v>1803.0500000000002</v>
      </c>
      <c r="AN14" s="46">
        <f>PROYECTADA!P14</f>
        <v>9.5204760000000075</v>
      </c>
      <c r="AO14" s="46">
        <f t="shared" si="12"/>
        <v>76.84000000000006</v>
      </c>
      <c r="AP14" s="45">
        <f>PROYECTADA!Q14</f>
        <v>8.6137640000000051</v>
      </c>
      <c r="AQ14" s="67">
        <f>PROYECTADA!R14</f>
        <v>8.3115266666666745</v>
      </c>
      <c r="AT14" s="1"/>
      <c r="AV14" s="1"/>
      <c r="AW14" s="1"/>
      <c r="AX14" s="2" t="str">
        <f t="shared" si="4"/>
        <v>ERROR</v>
      </c>
    </row>
    <row r="15" spans="1:50">
      <c r="A15" s="42">
        <v>9</v>
      </c>
      <c r="B15" s="66" t="s">
        <v>42</v>
      </c>
      <c r="C15" s="77" t="s">
        <v>43</v>
      </c>
      <c r="D15" s="202"/>
      <c r="E15" s="202"/>
      <c r="F15" s="315"/>
      <c r="G15" s="315"/>
      <c r="H15" s="315"/>
      <c r="I15" s="315"/>
      <c r="J15" s="315"/>
      <c r="K15" s="315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181">
        <f t="shared" si="5"/>
        <v>0</v>
      </c>
      <c r="W15" s="181">
        <f t="shared" si="0"/>
        <v>31</v>
      </c>
      <c r="X15" s="181">
        <f>'REPORTE DIARIO'!AI15</f>
        <v>182</v>
      </c>
      <c r="Y15" s="181">
        <f>PROYECTADA!G15</f>
        <v>0</v>
      </c>
      <c r="Z15" s="181">
        <f t="shared" si="6"/>
        <v>0</v>
      </c>
      <c r="AA15" s="181">
        <f>PROYECTADA!D15/$AP$1*PLAME!X15</f>
        <v>983.867283950618</v>
      </c>
      <c r="AB15" s="181">
        <f>PROYECTADA!F15/$AP$3*($AP$3-L15)</f>
        <v>113</v>
      </c>
      <c r="AC15" s="210">
        <f t="shared" si="7"/>
        <v>1096.867283950618</v>
      </c>
      <c r="AD15" s="181">
        <f t="shared" si="1"/>
        <v>10.964285370370378</v>
      </c>
      <c r="AE15" s="181">
        <f t="shared" si="2"/>
        <v>339</v>
      </c>
      <c r="AF15" s="181">
        <f t="shared" si="8"/>
        <v>182.73808950617297</v>
      </c>
      <c r="AG15" s="181">
        <f t="shared" si="9"/>
        <v>106.61550000000008</v>
      </c>
      <c r="AH15" s="45">
        <f>IF(OR(D15="SI", C15="SNP"), 0, VLOOKUP(C15, tbl_descuentos[], 2, FALSE) * SUM(Y15:AB15))</f>
        <v>0</v>
      </c>
      <c r="AI15" s="46">
        <v>0</v>
      </c>
      <c r="AJ15" s="46">
        <f>IF(OR(D15="SI", C15="SNP"), 0, VLOOKUP(C15, tbl_descuentos[], IF(E15 &gt; 65, 4, 3), FALSE) * SUM(Y15:AB15))</f>
        <v>15.027081790123468</v>
      </c>
      <c r="AK15" s="46">
        <f t="shared" si="10"/>
        <v>0</v>
      </c>
      <c r="AL15" s="46">
        <f t="shared" si="3"/>
        <v>109.68672839506181</v>
      </c>
      <c r="AM15" s="208">
        <f t="shared" si="11"/>
        <v>1611.47</v>
      </c>
      <c r="AN15" s="46">
        <f>PROYECTADA!P15</f>
        <v>9.5204760000000075</v>
      </c>
      <c r="AO15" s="46">
        <f t="shared" si="12"/>
        <v>65.812037037037072</v>
      </c>
      <c r="AP15" s="45">
        <f>PROYECTADA!Q15</f>
        <v>8.6137640000000051</v>
      </c>
      <c r="AQ15" s="67">
        <f>PROYECTADA!R15</f>
        <v>8.3115266666666745</v>
      </c>
      <c r="AT15" s="1"/>
      <c r="AV15" s="1"/>
      <c r="AW15" s="1"/>
      <c r="AX15" s="2" t="str">
        <f t="shared" si="4"/>
        <v>ERROR</v>
      </c>
    </row>
    <row r="16" spans="1:50">
      <c r="A16" s="65">
        <v>10</v>
      </c>
      <c r="B16" s="66" t="s">
        <v>44</v>
      </c>
      <c r="C16" s="75" t="s">
        <v>40</v>
      </c>
      <c r="D16" s="202"/>
      <c r="E16" s="202"/>
      <c r="F16" s="315"/>
      <c r="G16" s="315"/>
      <c r="H16" s="315"/>
      <c r="I16" s="315"/>
      <c r="J16" s="315"/>
      <c r="K16" s="315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181">
        <f t="shared" si="5"/>
        <v>0</v>
      </c>
      <c r="W16" s="181">
        <f t="shared" si="0"/>
        <v>31</v>
      </c>
      <c r="X16" s="181">
        <f>'REPORTE DIARIO'!AI16</f>
        <v>216</v>
      </c>
      <c r="Y16" s="181">
        <f>PROYECTADA!G16</f>
        <v>0</v>
      </c>
      <c r="Z16" s="181">
        <f t="shared" si="6"/>
        <v>0</v>
      </c>
      <c r="AA16" s="181">
        <f>PROYECTADA!D16/$AP$1*PLAME!X16</f>
        <v>1167.6666666666677</v>
      </c>
      <c r="AB16" s="181">
        <f>PROYECTADA!F16/$AP$3*($AP$3-L16)</f>
        <v>113</v>
      </c>
      <c r="AC16" s="210">
        <f t="shared" si="7"/>
        <v>1280.6666666666677</v>
      </c>
      <c r="AD16" s="181">
        <f t="shared" si="1"/>
        <v>12.801544000000009</v>
      </c>
      <c r="AE16" s="181">
        <f t="shared" si="2"/>
        <v>339</v>
      </c>
      <c r="AF16" s="181">
        <f t="shared" si="8"/>
        <v>213.35906666666682</v>
      </c>
      <c r="AG16" s="181">
        <f t="shared" si="9"/>
        <v>124.4808000000001</v>
      </c>
      <c r="AH16" s="45">
        <f>IF(OR(D16="SI", C16="SNP"), 0, VLOOKUP(C16, tbl_descuentos[], 2, FALSE) * SUM(Y16:AB16))</f>
        <v>19.850333333333349</v>
      </c>
      <c r="AI16" s="46">
        <v>0</v>
      </c>
      <c r="AJ16" s="46">
        <f>IF(OR(D16="SI", C16="SNP"), 0, VLOOKUP(C16, tbl_descuentos[], IF(E16 &gt; 65, 4, 3), FALSE) * SUM(Y16:AB16))</f>
        <v>17.545133333333347</v>
      </c>
      <c r="AK16" s="46">
        <f t="shared" si="10"/>
        <v>0</v>
      </c>
      <c r="AL16" s="46">
        <f t="shared" si="3"/>
        <v>128.06666666666678</v>
      </c>
      <c r="AM16" s="208">
        <f t="shared" si="11"/>
        <v>1804.8400000000001</v>
      </c>
      <c r="AN16" s="46">
        <f>PROYECTADA!P16</f>
        <v>9.5204760000000075</v>
      </c>
      <c r="AO16" s="46">
        <f t="shared" si="12"/>
        <v>76.84000000000006</v>
      </c>
      <c r="AP16" s="45">
        <f>PROYECTADA!Q16</f>
        <v>8.6137640000000051</v>
      </c>
      <c r="AQ16" s="67">
        <f>PROYECTADA!R16</f>
        <v>8.3115266666666745</v>
      </c>
      <c r="AT16" s="1"/>
      <c r="AV16" s="1"/>
      <c r="AW16" s="1"/>
      <c r="AX16" s="2" t="str">
        <f t="shared" si="4"/>
        <v>ERROR</v>
      </c>
    </row>
    <row r="17" spans="1:50">
      <c r="A17" s="42">
        <v>11</v>
      </c>
      <c r="B17" s="66" t="s">
        <v>45</v>
      </c>
      <c r="C17" s="68" t="s">
        <v>34</v>
      </c>
      <c r="D17" s="202"/>
      <c r="E17" s="202"/>
      <c r="F17" s="315"/>
      <c r="G17" s="315"/>
      <c r="H17" s="315"/>
      <c r="I17" s="315"/>
      <c r="J17" s="315"/>
      <c r="K17" s="315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181">
        <f t="shared" si="5"/>
        <v>0</v>
      </c>
      <c r="W17" s="181">
        <f t="shared" si="0"/>
        <v>31</v>
      </c>
      <c r="X17" s="181">
        <f>'REPORTE DIARIO'!AI17</f>
        <v>208</v>
      </c>
      <c r="Y17" s="181">
        <f>PROYECTADA!G17</f>
        <v>0</v>
      </c>
      <c r="Z17" s="181">
        <f t="shared" si="6"/>
        <v>0</v>
      </c>
      <c r="AA17" s="181">
        <f>PROYECTADA!D17/$AP$1*PLAME!X17</f>
        <v>1124.4197530864205</v>
      </c>
      <c r="AB17" s="181">
        <f>PROYECTADA!F17/$AP$3*($AP$3-L17)</f>
        <v>0</v>
      </c>
      <c r="AC17" s="210">
        <f t="shared" si="7"/>
        <v>1124.4197530864205</v>
      </c>
      <c r="AD17" s="181">
        <f t="shared" si="1"/>
        <v>11.239699851851858</v>
      </c>
      <c r="AE17" s="181">
        <f t="shared" si="2"/>
        <v>339</v>
      </c>
      <c r="AF17" s="181">
        <f t="shared" si="8"/>
        <v>187.32833086419765</v>
      </c>
      <c r="AG17" s="181">
        <f t="shared" si="9"/>
        <v>109.29360000000008</v>
      </c>
      <c r="AH17" s="45">
        <f>IF(OR(D17="SI", C17="SNP"), 0, VLOOKUP(C17, tbl_descuentos[], 2, FALSE) * SUM(Y17:AB17))</f>
        <v>0</v>
      </c>
      <c r="AI17" s="46">
        <v>0</v>
      </c>
      <c r="AJ17" s="46">
        <f>IF(OR(D17="SI", C17="SNP"), 0, VLOOKUP(C17, tbl_descuentos[], IF(E17 &gt; 65, 4, 3), FALSE) * SUM(Y17:AB17))</f>
        <v>15.404550617283961</v>
      </c>
      <c r="AK17" s="46">
        <f t="shared" si="10"/>
        <v>0</v>
      </c>
      <c r="AL17" s="46">
        <f t="shared" si="3"/>
        <v>112.44197530864206</v>
      </c>
      <c r="AM17" s="208">
        <f t="shared" si="11"/>
        <v>1643.4400000000003</v>
      </c>
      <c r="AN17" s="46">
        <f>PROYECTADA!P17</f>
        <v>8.6804340000000071</v>
      </c>
      <c r="AO17" s="46">
        <f t="shared" si="12"/>
        <v>67.465185185185234</v>
      </c>
      <c r="AP17" s="45">
        <f>PROYECTADA!Q17</f>
        <v>7.8537260000000053</v>
      </c>
      <c r="AQ17" s="67">
        <f>PROYECTADA!R17</f>
        <v>7.5781566666666738</v>
      </c>
      <c r="AT17" s="1"/>
      <c r="AV17" s="1"/>
      <c r="AW17" s="1"/>
      <c r="AX17" s="2" t="str">
        <f t="shared" si="4"/>
        <v>ERROR</v>
      </c>
    </row>
    <row r="18" spans="1:50">
      <c r="A18" s="65">
        <v>12</v>
      </c>
      <c r="B18" s="66" t="s">
        <v>46</v>
      </c>
      <c r="C18" s="77" t="s">
        <v>43</v>
      </c>
      <c r="D18" s="202"/>
      <c r="E18" s="202"/>
      <c r="F18" s="315"/>
      <c r="G18" s="315"/>
      <c r="H18" s="315"/>
      <c r="I18" s="315"/>
      <c r="J18" s="315"/>
      <c r="K18" s="315"/>
      <c r="L18" s="316"/>
      <c r="M18" s="316"/>
      <c r="N18" s="316"/>
      <c r="O18" s="316"/>
      <c r="P18" s="316"/>
      <c r="Q18" s="316">
        <v>13</v>
      </c>
      <c r="R18" s="316"/>
      <c r="S18" s="316"/>
      <c r="T18" s="316"/>
      <c r="U18" s="316"/>
      <c r="V18" s="181">
        <f t="shared" si="5"/>
        <v>13</v>
      </c>
      <c r="W18" s="181">
        <f t="shared" si="0"/>
        <v>18</v>
      </c>
      <c r="X18" s="181">
        <f>'REPORTE DIARIO'!AI18</f>
        <v>120</v>
      </c>
      <c r="Y18" s="181">
        <f>PROYECTADA!G18</f>
        <v>0</v>
      </c>
      <c r="Z18" s="181">
        <v>489.63</v>
      </c>
      <c r="AA18" s="181">
        <f>PROYECTADA!D18/$AP$1*PLAME!X18</f>
        <v>648.70370370370415</v>
      </c>
      <c r="AB18" s="181">
        <f>PROYECTADA!F18/$AP$3*($AP$3-L18)</f>
        <v>0</v>
      </c>
      <c r="AC18" s="210">
        <f t="shared" si="7"/>
        <v>1138.333703703704</v>
      </c>
      <c r="AD18" s="181">
        <f>6%*AF18</f>
        <v>11.378783702222224</v>
      </c>
      <c r="AE18" s="181">
        <f t="shared" si="2"/>
        <v>339</v>
      </c>
      <c r="AF18" s="181">
        <f t="shared" si="8"/>
        <v>189.64639503703708</v>
      </c>
      <c r="AG18" s="181">
        <f t="shared" si="9"/>
        <v>110.64603600000004</v>
      </c>
      <c r="AH18" s="45">
        <f>IF(OR(D18="SI", C18="SNP"), 0, VLOOKUP(C18, tbl_descuentos[], 2, FALSE) * SUM(Y18:AB18))</f>
        <v>0</v>
      </c>
      <c r="AI18" s="46">
        <v>0</v>
      </c>
      <c r="AJ18" s="46">
        <f>IF(OR(D18="SI", C18="SNP"), 0, VLOOKUP(C18, tbl_descuentos[], IF(E18 &gt; 65, 4, 3), FALSE) * SUM(Y18:AB18))</f>
        <v>15.595171740740746</v>
      </c>
      <c r="AK18" s="46">
        <f t="shared" si="10"/>
        <v>0</v>
      </c>
      <c r="AL18" s="46">
        <f t="shared" si="3"/>
        <v>113.8333703703704</v>
      </c>
      <c r="AM18" s="208">
        <f t="shared" si="11"/>
        <v>1659.5799999999997</v>
      </c>
      <c r="AN18" s="46">
        <f>PROYECTADA!P18</f>
        <v>8.6804340000000071</v>
      </c>
      <c r="AO18" s="46">
        <f t="shared" si="12"/>
        <v>68.300022222222239</v>
      </c>
      <c r="AP18" s="45">
        <f>PROYECTADA!Q18</f>
        <v>7.8537260000000053</v>
      </c>
      <c r="AQ18" s="67">
        <f>PROYECTADA!R18</f>
        <v>7.5781566666666738</v>
      </c>
      <c r="AS18" s="2">
        <v>1659.5799999999997</v>
      </c>
      <c r="AT18" s="1">
        <v>8.6804340000000071</v>
      </c>
      <c r="AU18" s="2">
        <v>68.300022222222239</v>
      </c>
      <c r="AV18" s="1">
        <v>7.8537260000000053</v>
      </c>
      <c r="AW18" s="1">
        <v>7.5781566666666738</v>
      </c>
      <c r="AX18" s="2" t="str">
        <f t="shared" si="4"/>
        <v>OK</v>
      </c>
    </row>
    <row r="19" spans="1:50">
      <c r="A19" s="42">
        <v>13</v>
      </c>
      <c r="B19" s="66" t="s">
        <v>47</v>
      </c>
      <c r="C19" s="70" t="s">
        <v>36</v>
      </c>
      <c r="D19" s="202"/>
      <c r="E19" s="202"/>
      <c r="F19" s="315"/>
      <c r="G19" s="315"/>
      <c r="H19" s="315"/>
      <c r="I19" s="315"/>
      <c r="J19" s="315"/>
      <c r="K19" s="315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181">
        <f t="shared" si="5"/>
        <v>0</v>
      </c>
      <c r="W19" s="181">
        <f t="shared" si="0"/>
        <v>31</v>
      </c>
      <c r="X19" s="181">
        <f>'REPORTE DIARIO'!AI19</f>
        <v>216</v>
      </c>
      <c r="Y19" s="181">
        <f>PROYECTADA!G19</f>
        <v>0</v>
      </c>
      <c r="Z19" s="181">
        <f t="shared" si="6"/>
        <v>0</v>
      </c>
      <c r="AA19" s="181">
        <f>PROYECTADA!D19/$AP$1*PLAME!X19</f>
        <v>1167.6666666666677</v>
      </c>
      <c r="AB19" s="181">
        <f>PROYECTADA!F19/$AP$3*($AP$3-L19)</f>
        <v>0</v>
      </c>
      <c r="AC19" s="210">
        <f t="shared" si="7"/>
        <v>1167.6666666666677</v>
      </c>
      <c r="AD19" s="181">
        <f t="shared" ref="AD19:AD54" si="13">6%*AF19</f>
        <v>11.671996000000009</v>
      </c>
      <c r="AE19" s="181">
        <f t="shared" si="2"/>
        <v>339</v>
      </c>
      <c r="AF19" s="181">
        <f t="shared" si="8"/>
        <v>194.53326666666683</v>
      </c>
      <c r="AG19" s="181">
        <f t="shared" si="9"/>
        <v>113.49720000000011</v>
      </c>
      <c r="AH19" s="45">
        <f>IF(OR(D19="SI", C19="SNP"), 0, VLOOKUP(C19, tbl_descuentos[], 2, FALSE) * SUM(Y19:AB19))</f>
        <v>0</v>
      </c>
      <c r="AI19" s="46">
        <v>0</v>
      </c>
      <c r="AJ19" s="46">
        <f>IF(OR(D19="SI", C19="SNP"), 0, VLOOKUP(C19, tbl_descuentos[], IF(E19 &gt; 65, 4, 3), FALSE) * SUM(Y19:AB19))</f>
        <v>15.997033333333347</v>
      </c>
      <c r="AK19" s="46">
        <f t="shared" si="10"/>
        <v>0</v>
      </c>
      <c r="AL19" s="46">
        <f t="shared" si="3"/>
        <v>116.76666666666677</v>
      </c>
      <c r="AM19" s="208">
        <f t="shared" si="11"/>
        <v>1693.6000000000001</v>
      </c>
      <c r="AN19" s="46">
        <f>PROYECTADA!P19</f>
        <v>8.6804340000000071</v>
      </c>
      <c r="AO19" s="46">
        <f t="shared" si="12"/>
        <v>70.060000000000059</v>
      </c>
      <c r="AP19" s="45">
        <f>PROYECTADA!Q19</f>
        <v>7.8537260000000053</v>
      </c>
      <c r="AQ19" s="67">
        <f>PROYECTADA!R19</f>
        <v>7.5781566666666738</v>
      </c>
      <c r="AT19" s="1"/>
      <c r="AV19" s="1"/>
      <c r="AW19" s="1"/>
      <c r="AX19" s="2" t="str">
        <f t="shared" si="4"/>
        <v>ERROR</v>
      </c>
    </row>
    <row r="20" spans="1:50">
      <c r="A20" s="65">
        <v>14</v>
      </c>
      <c r="B20" s="66" t="s">
        <v>48</v>
      </c>
      <c r="C20" s="79" t="s">
        <v>49</v>
      </c>
      <c r="D20" s="202"/>
      <c r="E20" s="202"/>
      <c r="F20" s="315"/>
      <c r="G20" s="315"/>
      <c r="H20" s="315"/>
      <c r="I20" s="315"/>
      <c r="J20" s="315"/>
      <c r="K20" s="315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181">
        <f t="shared" si="5"/>
        <v>0</v>
      </c>
      <c r="W20" s="181">
        <f t="shared" si="0"/>
        <v>31</v>
      </c>
      <c r="X20" s="181">
        <f>'REPORTE DIARIO'!AI20</f>
        <v>216</v>
      </c>
      <c r="Y20" s="181">
        <f>PROYECTADA!G20</f>
        <v>0</v>
      </c>
      <c r="Z20" s="181">
        <f t="shared" si="6"/>
        <v>0</v>
      </c>
      <c r="AA20" s="181">
        <f>PROYECTADA!D20/$AP$1*PLAME!X20</f>
        <v>1167.6666666666677</v>
      </c>
      <c r="AB20" s="181">
        <f>PROYECTADA!F20/$AP$3*($AP$3-L20)</f>
        <v>0</v>
      </c>
      <c r="AC20" s="210">
        <f t="shared" si="7"/>
        <v>1167.6666666666677</v>
      </c>
      <c r="AD20" s="181">
        <f t="shared" si="13"/>
        <v>11.671996000000009</v>
      </c>
      <c r="AE20" s="181">
        <f t="shared" si="2"/>
        <v>339</v>
      </c>
      <c r="AF20" s="181">
        <f t="shared" si="8"/>
        <v>194.53326666666683</v>
      </c>
      <c r="AG20" s="181">
        <f t="shared" si="9"/>
        <v>113.49720000000011</v>
      </c>
      <c r="AH20" s="45">
        <f>IF(OR(D20="SI", C20="SNP"), 0, VLOOKUP(C20, tbl_descuentos[], 2, FALSE) * SUM(Y20:AB20))</f>
        <v>0</v>
      </c>
      <c r="AI20" s="46">
        <v>0</v>
      </c>
      <c r="AJ20" s="46">
        <f>IF(OR(D20="SI", C20="SNP"), 0, VLOOKUP(C20, tbl_descuentos[], IF(E20 &gt; 65, 4, 3), FALSE) * SUM(Y20:AB20))</f>
        <v>15.997033333333347</v>
      </c>
      <c r="AK20" s="46">
        <f t="shared" si="10"/>
        <v>0</v>
      </c>
      <c r="AL20" s="46">
        <f t="shared" si="3"/>
        <v>116.76666666666677</v>
      </c>
      <c r="AM20" s="208">
        <f t="shared" si="11"/>
        <v>1693.6000000000001</v>
      </c>
      <c r="AN20" s="46">
        <f>PROYECTADA!P20</f>
        <v>8.6804340000000071</v>
      </c>
      <c r="AO20" s="46">
        <f t="shared" si="12"/>
        <v>70.060000000000059</v>
      </c>
      <c r="AP20" s="45">
        <f>PROYECTADA!Q20</f>
        <v>7.8537260000000053</v>
      </c>
      <c r="AQ20" s="67">
        <f>PROYECTADA!R20</f>
        <v>7.5781566666666738</v>
      </c>
      <c r="AT20" s="1"/>
      <c r="AV20" s="1"/>
      <c r="AW20" s="1"/>
      <c r="AX20" s="2" t="str">
        <f t="shared" si="4"/>
        <v>ERROR</v>
      </c>
    </row>
    <row r="21" spans="1:50">
      <c r="A21" s="42">
        <v>15</v>
      </c>
      <c r="B21" s="66" t="s">
        <v>50</v>
      </c>
      <c r="C21" s="44" t="s">
        <v>30</v>
      </c>
      <c r="D21" s="202"/>
      <c r="E21" s="202"/>
      <c r="F21" s="315"/>
      <c r="G21" s="315"/>
      <c r="H21" s="315"/>
      <c r="I21" s="315"/>
      <c r="J21" s="315"/>
      <c r="K21" s="315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181">
        <f t="shared" si="5"/>
        <v>0</v>
      </c>
      <c r="W21" s="181">
        <f t="shared" si="0"/>
        <v>31</v>
      </c>
      <c r="X21" s="181">
        <f>'REPORTE DIARIO'!AI21</f>
        <v>216</v>
      </c>
      <c r="Y21" s="181">
        <f>PROYECTADA!G21</f>
        <v>0</v>
      </c>
      <c r="Z21" s="181">
        <f t="shared" si="6"/>
        <v>0</v>
      </c>
      <c r="AA21" s="181">
        <f>PROYECTADA!D21/$AP$1*PLAME!X21</f>
        <v>1167.6666666666677</v>
      </c>
      <c r="AB21" s="181">
        <f>PROYECTADA!F21/$AP$3*($AP$3-L21)</f>
        <v>0</v>
      </c>
      <c r="AC21" s="210">
        <f t="shared" si="7"/>
        <v>1167.6666666666677</v>
      </c>
      <c r="AD21" s="181">
        <f t="shared" si="13"/>
        <v>11.671996000000009</v>
      </c>
      <c r="AE21" s="181">
        <f t="shared" si="2"/>
        <v>339</v>
      </c>
      <c r="AF21" s="181">
        <f t="shared" si="8"/>
        <v>194.53326666666683</v>
      </c>
      <c r="AG21" s="181">
        <f t="shared" si="9"/>
        <v>113.49720000000011</v>
      </c>
      <c r="AH21" s="45">
        <f>IF(OR(D21="SI", C21="SNP"), 0, VLOOKUP(C21, tbl_descuentos[], 2, FALSE) * SUM(Y21:AB21))</f>
        <v>19.733566666666682</v>
      </c>
      <c r="AI21" s="46">
        <v>0</v>
      </c>
      <c r="AJ21" s="46">
        <f>IF(OR(D21="SI", C21="SNP"), 0, VLOOKUP(C21, tbl_descuentos[], IF(E21 &gt; 65, 4, 3), FALSE) * SUM(Y21:AB21))</f>
        <v>15.997033333333347</v>
      </c>
      <c r="AK21" s="46">
        <f t="shared" si="10"/>
        <v>0</v>
      </c>
      <c r="AL21" s="46">
        <f t="shared" si="3"/>
        <v>116.76666666666677</v>
      </c>
      <c r="AM21" s="208">
        <f t="shared" si="11"/>
        <v>1673.8700000000001</v>
      </c>
      <c r="AN21" s="46">
        <f>PROYECTADA!P21</f>
        <v>8.6804340000000071</v>
      </c>
      <c r="AO21" s="46">
        <f t="shared" si="12"/>
        <v>70.060000000000059</v>
      </c>
      <c r="AP21" s="45">
        <f>PROYECTADA!Q21</f>
        <v>7.8537260000000053</v>
      </c>
      <c r="AQ21" s="67">
        <f>PROYECTADA!R21</f>
        <v>7.5781566666666738</v>
      </c>
      <c r="AT21" s="1"/>
      <c r="AV21" s="1"/>
      <c r="AW21" s="1"/>
      <c r="AX21" s="2" t="str">
        <f t="shared" si="4"/>
        <v>ERROR</v>
      </c>
    </row>
    <row r="22" spans="1:50">
      <c r="A22" s="65">
        <v>16</v>
      </c>
      <c r="B22" s="81" t="s">
        <v>51</v>
      </c>
      <c r="C22" s="77" t="s">
        <v>43</v>
      </c>
      <c r="D22" s="202"/>
      <c r="E22" s="202"/>
      <c r="F22" s="315"/>
      <c r="G22" s="315"/>
      <c r="H22" s="315"/>
      <c r="I22" s="315"/>
      <c r="J22" s="315"/>
      <c r="K22" s="315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181">
        <f t="shared" si="5"/>
        <v>0</v>
      </c>
      <c r="W22" s="181">
        <f t="shared" si="0"/>
        <v>31</v>
      </c>
      <c r="X22" s="181">
        <f>'REPORTE DIARIO'!AI22</f>
        <v>189</v>
      </c>
      <c r="Y22" s="181">
        <f>PROYECTADA!G22</f>
        <v>103.58</v>
      </c>
      <c r="Z22" s="181">
        <f t="shared" si="6"/>
        <v>0</v>
      </c>
      <c r="AA22" s="181">
        <f>PROYECTADA!D22/$AP$1*PLAME!X22</f>
        <v>1021.7083333333342</v>
      </c>
      <c r="AB22" s="181">
        <f>PROYECTADA!F22/$AP$3*($AP$3-L22)</f>
        <v>113</v>
      </c>
      <c r="AC22" s="210">
        <f t="shared" si="7"/>
        <v>1134.7083333333342</v>
      </c>
      <c r="AD22" s="181">
        <f t="shared" si="13"/>
        <v>11.342544500000008</v>
      </c>
      <c r="AE22" s="181">
        <f t="shared" si="2"/>
        <v>339</v>
      </c>
      <c r="AF22" s="181">
        <f t="shared" si="8"/>
        <v>189.04240833333347</v>
      </c>
      <c r="AG22" s="181">
        <f t="shared" si="9"/>
        <v>110.29365000000008</v>
      </c>
      <c r="AH22" s="45">
        <f>IF(OR(D22="SI", C22="SNP"), 0, VLOOKUP(C22, tbl_descuentos[], 2, FALSE) * SUM(Y22:AB22))</f>
        <v>0</v>
      </c>
      <c r="AI22" s="46">
        <v>0</v>
      </c>
      <c r="AJ22" s="46">
        <f>IF(OR(D22="SI", C22="SNP"), 0, VLOOKUP(C22, tbl_descuentos[], IF(E22 &gt; 65, 4, 3), FALSE) * SUM(Y22:AB22))</f>
        <v>16.964550166666676</v>
      </c>
      <c r="AK22" s="46">
        <f t="shared" si="10"/>
        <v>0</v>
      </c>
      <c r="AL22" s="46">
        <f t="shared" si="3"/>
        <v>123.82883333333342</v>
      </c>
      <c r="AM22" s="208">
        <f t="shared" si="11"/>
        <v>1747.17</v>
      </c>
      <c r="AN22" s="46">
        <f>PROYECTADA!P22</f>
        <v>10.290489720000007</v>
      </c>
      <c r="AO22" s="46">
        <f t="shared" si="12"/>
        <v>74.29730000000005</v>
      </c>
      <c r="AP22" s="45">
        <f>PROYECTADA!Q22</f>
        <v>9.3104430800000042</v>
      </c>
      <c r="AQ22" s="67">
        <f>PROYECTADA!R22</f>
        <v>8.9837608666666728</v>
      </c>
      <c r="AT22" s="1"/>
      <c r="AV22" s="1"/>
      <c r="AW22" s="1"/>
      <c r="AX22" s="2" t="str">
        <f t="shared" si="4"/>
        <v>ERROR</v>
      </c>
    </row>
    <row r="23" spans="1:50">
      <c r="A23" s="42">
        <v>17</v>
      </c>
      <c r="B23" s="81" t="s">
        <v>52</v>
      </c>
      <c r="C23" s="77" t="s">
        <v>43</v>
      </c>
      <c r="D23" s="202"/>
      <c r="E23" s="202"/>
      <c r="F23" s="315"/>
      <c r="G23" s="315"/>
      <c r="H23" s="315"/>
      <c r="I23" s="315"/>
      <c r="J23" s="315"/>
      <c r="K23" s="315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181">
        <f t="shared" si="5"/>
        <v>0</v>
      </c>
      <c r="W23" s="181">
        <f t="shared" si="0"/>
        <v>31</v>
      </c>
      <c r="X23" s="181">
        <f>'REPORTE DIARIO'!AI23</f>
        <v>216</v>
      </c>
      <c r="Y23" s="181">
        <f>PROYECTADA!G23</f>
        <v>94.16</v>
      </c>
      <c r="Z23" s="181">
        <f t="shared" si="6"/>
        <v>0</v>
      </c>
      <c r="AA23" s="181">
        <f>PROYECTADA!D23/$AP$1*PLAME!X23</f>
        <v>1167.6666666666677</v>
      </c>
      <c r="AB23" s="181">
        <f>PROYECTADA!F23/$AP$3*($AP$3-L23)</f>
        <v>0</v>
      </c>
      <c r="AC23" s="210">
        <f t="shared" si="7"/>
        <v>1167.6666666666677</v>
      </c>
      <c r="AD23" s="181">
        <f t="shared" si="13"/>
        <v>11.671996000000009</v>
      </c>
      <c r="AE23" s="181">
        <f t="shared" si="2"/>
        <v>339</v>
      </c>
      <c r="AF23" s="181">
        <f t="shared" si="8"/>
        <v>194.53326666666683</v>
      </c>
      <c r="AG23" s="181">
        <f t="shared" si="9"/>
        <v>113.49720000000011</v>
      </c>
      <c r="AH23" s="45">
        <f>IF(OR(D23="SI", C23="SNP"), 0, VLOOKUP(C23, tbl_descuentos[], 2, FALSE) * SUM(Y23:AB23))</f>
        <v>0</v>
      </c>
      <c r="AI23" s="46">
        <v>0</v>
      </c>
      <c r="AJ23" s="46">
        <f>IF(OR(D23="SI", C23="SNP"), 0, VLOOKUP(C23, tbl_descuentos[], IF(E23 &gt; 65, 4, 3), FALSE) * SUM(Y23:AB23))</f>
        <v>17.28702533333335</v>
      </c>
      <c r="AK23" s="46">
        <f t="shared" si="10"/>
        <v>0</v>
      </c>
      <c r="AL23" s="46">
        <f t="shared" si="3"/>
        <v>126.18266666666678</v>
      </c>
      <c r="AM23" s="208">
        <f t="shared" si="11"/>
        <v>1777.0600000000002</v>
      </c>
      <c r="AN23" s="46">
        <f>PROYECTADA!P23</f>
        <v>9.3804194400000078</v>
      </c>
      <c r="AO23" s="46">
        <f t="shared" si="12"/>
        <v>75.709600000000066</v>
      </c>
      <c r="AP23" s="45">
        <f>PROYECTADA!Q23</f>
        <v>8.4870461600000056</v>
      </c>
      <c r="AQ23" s="67">
        <f>PROYECTADA!R23</f>
        <v>8.189255066666675</v>
      </c>
      <c r="AT23" s="1"/>
      <c r="AV23" s="1"/>
      <c r="AW23" s="1"/>
      <c r="AX23" s="2" t="str">
        <f t="shared" si="4"/>
        <v>ERROR</v>
      </c>
    </row>
    <row r="24" spans="1:50">
      <c r="A24" s="65">
        <v>18</v>
      </c>
      <c r="B24" s="81" t="s">
        <v>53</v>
      </c>
      <c r="C24" s="70" t="s">
        <v>36</v>
      </c>
      <c r="D24" s="202"/>
      <c r="E24" s="202"/>
      <c r="F24" s="315"/>
      <c r="G24" s="315"/>
      <c r="H24" s="315"/>
      <c r="I24" s="315"/>
      <c r="J24" s="315"/>
      <c r="K24" s="315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181">
        <f t="shared" si="5"/>
        <v>0</v>
      </c>
      <c r="W24" s="181">
        <f t="shared" si="0"/>
        <v>31</v>
      </c>
      <c r="X24" s="181">
        <f>'REPORTE DIARIO'!AI24</f>
        <v>216</v>
      </c>
      <c r="Y24" s="181">
        <f>PROYECTADA!G24</f>
        <v>103.58</v>
      </c>
      <c r="Z24" s="181">
        <f t="shared" si="6"/>
        <v>0</v>
      </c>
      <c r="AA24" s="181">
        <f>PROYECTADA!D24/$AP$1*PLAME!X24</f>
        <v>1167.6666666666677</v>
      </c>
      <c r="AB24" s="181">
        <f>PROYECTADA!F24/$AP$3*($AP$3-L24)</f>
        <v>113</v>
      </c>
      <c r="AC24" s="210">
        <f t="shared" si="7"/>
        <v>1280.6666666666677</v>
      </c>
      <c r="AD24" s="181">
        <f t="shared" si="13"/>
        <v>12.801544000000009</v>
      </c>
      <c r="AE24" s="181">
        <f t="shared" si="2"/>
        <v>339</v>
      </c>
      <c r="AF24" s="181">
        <f t="shared" si="8"/>
        <v>213.35906666666682</v>
      </c>
      <c r="AG24" s="181">
        <f t="shared" si="9"/>
        <v>124.4808000000001</v>
      </c>
      <c r="AH24" s="45">
        <f>IF(OR(D24="SI", C24="SNP"), 0, VLOOKUP(C24, tbl_descuentos[], 2, FALSE) * SUM(Y24:AB24))</f>
        <v>0</v>
      </c>
      <c r="AI24" s="46">
        <v>0</v>
      </c>
      <c r="AJ24" s="46">
        <f>IF(OR(D24="SI", C24="SNP"), 0, VLOOKUP(C24, tbl_descuentos[], IF(E24 &gt; 65, 4, 3), FALSE) * SUM(Y24:AB24))</f>
        <v>18.964179333333345</v>
      </c>
      <c r="AK24" s="46">
        <f t="shared" si="10"/>
        <v>0</v>
      </c>
      <c r="AL24" s="46">
        <f t="shared" si="3"/>
        <v>138.42466666666675</v>
      </c>
      <c r="AM24" s="208">
        <f t="shared" si="11"/>
        <v>1916.5100000000002</v>
      </c>
      <c r="AN24" s="46">
        <f>PROYECTADA!P24</f>
        <v>10.290489720000007</v>
      </c>
      <c r="AO24" s="46">
        <f t="shared" si="12"/>
        <v>83.054800000000057</v>
      </c>
      <c r="AP24" s="45">
        <f>PROYECTADA!Q24</f>
        <v>9.3104430800000042</v>
      </c>
      <c r="AQ24" s="67">
        <f>PROYECTADA!R24</f>
        <v>8.9837608666666728</v>
      </c>
      <c r="AT24" s="1"/>
      <c r="AV24" s="1"/>
      <c r="AW24" s="1"/>
      <c r="AX24" s="2" t="str">
        <f t="shared" si="4"/>
        <v>ERROR</v>
      </c>
    </row>
    <row r="25" spans="1:50">
      <c r="A25" s="42">
        <v>19</v>
      </c>
      <c r="B25" s="83" t="s">
        <v>54</v>
      </c>
      <c r="C25" s="44" t="s">
        <v>30</v>
      </c>
      <c r="D25" s="202"/>
      <c r="E25" s="202"/>
      <c r="F25" s="315"/>
      <c r="G25" s="315"/>
      <c r="H25" s="315"/>
      <c r="I25" s="315"/>
      <c r="J25" s="315"/>
      <c r="K25" s="315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181">
        <f t="shared" si="5"/>
        <v>0</v>
      </c>
      <c r="W25" s="181">
        <f t="shared" si="0"/>
        <v>31</v>
      </c>
      <c r="X25" s="181">
        <f>'REPORTE DIARIO'!AI25</f>
        <v>208</v>
      </c>
      <c r="Y25" s="181">
        <f>PROYECTADA!G25</f>
        <v>0</v>
      </c>
      <c r="Z25" s="181">
        <f t="shared" si="6"/>
        <v>0</v>
      </c>
      <c r="AA25" s="181">
        <f>PROYECTADA!D25/$AP$1*PLAME!X25</f>
        <v>1124.4197530864205</v>
      </c>
      <c r="AB25" s="181">
        <f>PROYECTADA!F25/$AP$3*($AP$3-L25)</f>
        <v>113</v>
      </c>
      <c r="AC25" s="210">
        <f t="shared" si="7"/>
        <v>1237.4197530864205</v>
      </c>
      <c r="AD25" s="181">
        <f t="shared" si="13"/>
        <v>12.36924785185186</v>
      </c>
      <c r="AE25" s="181">
        <f t="shared" si="2"/>
        <v>339</v>
      </c>
      <c r="AF25" s="181">
        <f t="shared" si="8"/>
        <v>206.15413086419767</v>
      </c>
      <c r="AG25" s="181">
        <f t="shared" si="9"/>
        <v>120.27720000000009</v>
      </c>
      <c r="AH25" s="45">
        <f>IF(OR(D25="SI", C25="SNP"), 0, VLOOKUP(C25, tbl_descuentos[], 2, FALSE) * SUM(Y25:AB25))</f>
        <v>20.912393827160503</v>
      </c>
      <c r="AI25" s="46">
        <v>0</v>
      </c>
      <c r="AJ25" s="46">
        <f>IF(OR(D25="SI", C25="SNP"), 0, VLOOKUP(C25, tbl_descuentos[], IF(E25 &gt; 65, 4, 3), FALSE) * SUM(Y25:AB25))</f>
        <v>16.952650617283961</v>
      </c>
      <c r="AK25" s="46">
        <f t="shared" si="10"/>
        <v>0</v>
      </c>
      <c r="AL25" s="46">
        <f t="shared" si="3"/>
        <v>123.74197530864205</v>
      </c>
      <c r="AM25" s="208">
        <f t="shared" si="11"/>
        <v>1753.6200000000001</v>
      </c>
      <c r="AN25" s="46">
        <f>PROYECTADA!P25</f>
        <v>9.5204760000000075</v>
      </c>
      <c r="AO25" s="46">
        <f t="shared" si="12"/>
        <v>74.245185185185235</v>
      </c>
      <c r="AP25" s="45">
        <f>PROYECTADA!Q25</f>
        <v>8.6137640000000051</v>
      </c>
      <c r="AQ25" s="67">
        <f>PROYECTADA!R25</f>
        <v>8.3115266666666745</v>
      </c>
      <c r="AT25" s="1"/>
      <c r="AV25" s="1"/>
      <c r="AW25" s="1"/>
      <c r="AX25" s="2" t="str">
        <f t="shared" si="4"/>
        <v>ERROR</v>
      </c>
    </row>
    <row r="26" spans="1:50">
      <c r="A26" s="65">
        <v>20</v>
      </c>
      <c r="B26" s="83" t="s">
        <v>55</v>
      </c>
      <c r="C26" s="44" t="s">
        <v>30</v>
      </c>
      <c r="D26" s="202"/>
      <c r="E26" s="202"/>
      <c r="F26" s="315"/>
      <c r="G26" s="315"/>
      <c r="H26" s="315"/>
      <c r="I26" s="315"/>
      <c r="J26" s="315"/>
      <c r="K26" s="315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181">
        <f t="shared" si="5"/>
        <v>0</v>
      </c>
      <c r="W26" s="181">
        <f t="shared" si="0"/>
        <v>31</v>
      </c>
      <c r="X26" s="181">
        <f>'REPORTE DIARIO'!AI26</f>
        <v>216</v>
      </c>
      <c r="Y26" s="181">
        <f>PROYECTADA!G26</f>
        <v>0</v>
      </c>
      <c r="Z26" s="181">
        <f t="shared" si="6"/>
        <v>0</v>
      </c>
      <c r="AA26" s="181">
        <f>PROYECTADA!D26/$AP$1*PLAME!X26</f>
        <v>1167.6666666666677</v>
      </c>
      <c r="AB26" s="181">
        <f>PROYECTADA!F26/$AP$3*($AP$3-L26)</f>
        <v>113</v>
      </c>
      <c r="AC26" s="210">
        <f t="shared" si="7"/>
        <v>1280.6666666666677</v>
      </c>
      <c r="AD26" s="181">
        <f t="shared" si="13"/>
        <v>12.801544000000009</v>
      </c>
      <c r="AE26" s="181">
        <f t="shared" si="2"/>
        <v>339</v>
      </c>
      <c r="AF26" s="181">
        <f t="shared" si="8"/>
        <v>213.35906666666682</v>
      </c>
      <c r="AG26" s="181">
        <f t="shared" si="9"/>
        <v>124.4808000000001</v>
      </c>
      <c r="AH26" s="45">
        <f>IF(OR(D26="SI", C26="SNP"), 0, VLOOKUP(C26, tbl_descuentos[], 2, FALSE) * SUM(Y26:AB26))</f>
        <v>21.64326666666668</v>
      </c>
      <c r="AI26" s="46">
        <v>0</v>
      </c>
      <c r="AJ26" s="46">
        <f>IF(OR(D26="SI", C26="SNP"), 0, VLOOKUP(C26, tbl_descuentos[], IF(E26 &gt; 65, 4, 3), FALSE) * SUM(Y26:AB26))</f>
        <v>17.545133333333347</v>
      </c>
      <c r="AK26" s="46">
        <f t="shared" si="10"/>
        <v>0</v>
      </c>
      <c r="AL26" s="46">
        <f t="shared" si="3"/>
        <v>128.06666666666678</v>
      </c>
      <c r="AM26" s="208">
        <f t="shared" si="11"/>
        <v>1803.0500000000002</v>
      </c>
      <c r="AN26" s="46">
        <f>PROYECTADA!P26</f>
        <v>9.5204760000000075</v>
      </c>
      <c r="AO26" s="46">
        <f t="shared" si="12"/>
        <v>76.84000000000006</v>
      </c>
      <c r="AP26" s="45">
        <f>PROYECTADA!Q26</f>
        <v>8.6137640000000051</v>
      </c>
      <c r="AQ26" s="67">
        <f>PROYECTADA!R26</f>
        <v>8.3115266666666745</v>
      </c>
      <c r="AT26" s="1"/>
      <c r="AV26" s="1"/>
      <c r="AW26" s="1"/>
      <c r="AX26" s="2" t="str">
        <f t="shared" si="4"/>
        <v>ERROR</v>
      </c>
    </row>
    <row r="27" spans="1:50">
      <c r="A27" s="42">
        <v>21</v>
      </c>
      <c r="B27" s="83" t="s">
        <v>56</v>
      </c>
      <c r="C27" s="44" t="s">
        <v>30</v>
      </c>
      <c r="D27" s="202"/>
      <c r="E27" s="202"/>
      <c r="F27" s="315"/>
      <c r="G27" s="315"/>
      <c r="H27" s="315"/>
      <c r="I27" s="315"/>
      <c r="J27" s="315"/>
      <c r="K27" s="315"/>
      <c r="L27" s="316"/>
      <c r="M27" s="316"/>
      <c r="N27" s="316"/>
      <c r="O27" s="316"/>
      <c r="P27" s="316"/>
      <c r="Q27" s="316"/>
      <c r="R27" s="316"/>
      <c r="S27" s="316"/>
      <c r="T27" s="316"/>
      <c r="U27" s="316"/>
      <c r="V27" s="181">
        <f t="shared" si="5"/>
        <v>0</v>
      </c>
      <c r="W27" s="181">
        <f t="shared" si="0"/>
        <v>31</v>
      </c>
      <c r="X27" s="181">
        <f>'REPORTE DIARIO'!AI27</f>
        <v>216</v>
      </c>
      <c r="Y27" s="181">
        <f>PROYECTADA!G27</f>
        <v>0</v>
      </c>
      <c r="Z27" s="181">
        <f t="shared" si="6"/>
        <v>0</v>
      </c>
      <c r="AA27" s="181">
        <f>PROYECTADA!D27/$AP$1*PLAME!X27</f>
        <v>1167.6666666666677</v>
      </c>
      <c r="AB27" s="181">
        <f>PROYECTADA!F27/$AP$3*($AP$3-L27)</f>
        <v>113</v>
      </c>
      <c r="AC27" s="210">
        <f t="shared" si="7"/>
        <v>1280.6666666666677</v>
      </c>
      <c r="AD27" s="181">
        <f t="shared" si="13"/>
        <v>12.801544000000009</v>
      </c>
      <c r="AE27" s="181">
        <f t="shared" si="2"/>
        <v>339</v>
      </c>
      <c r="AF27" s="181">
        <f t="shared" si="8"/>
        <v>213.35906666666682</v>
      </c>
      <c r="AG27" s="181">
        <f t="shared" si="9"/>
        <v>124.4808000000001</v>
      </c>
      <c r="AH27" s="45">
        <f>IF(OR(D27="SI", C27="SNP"), 0, VLOOKUP(C27, tbl_descuentos[], 2, FALSE) * SUM(Y27:AB27))</f>
        <v>21.64326666666668</v>
      </c>
      <c r="AI27" s="46">
        <v>0</v>
      </c>
      <c r="AJ27" s="46">
        <f>IF(OR(D27="SI", C27="SNP"), 0, VLOOKUP(C27, tbl_descuentos[], IF(E27 &gt; 65, 4, 3), FALSE) * SUM(Y27:AB27))</f>
        <v>17.545133333333347</v>
      </c>
      <c r="AK27" s="46">
        <f t="shared" si="10"/>
        <v>0</v>
      </c>
      <c r="AL27" s="46">
        <f t="shared" si="3"/>
        <v>128.06666666666678</v>
      </c>
      <c r="AM27" s="208">
        <f t="shared" si="11"/>
        <v>1803.0500000000002</v>
      </c>
      <c r="AN27" s="46">
        <f>PROYECTADA!P27</f>
        <v>9.5204760000000075</v>
      </c>
      <c r="AO27" s="46">
        <f t="shared" si="12"/>
        <v>76.84000000000006</v>
      </c>
      <c r="AP27" s="45">
        <f>PROYECTADA!Q27</f>
        <v>8.6137640000000051</v>
      </c>
      <c r="AQ27" s="67">
        <f>PROYECTADA!R27</f>
        <v>8.3115266666666745</v>
      </c>
      <c r="AT27" s="1"/>
      <c r="AV27" s="1"/>
      <c r="AW27" s="1"/>
      <c r="AX27" s="2" t="str">
        <f t="shared" si="4"/>
        <v>ERROR</v>
      </c>
    </row>
    <row r="28" spans="1:50">
      <c r="A28" s="65">
        <v>22</v>
      </c>
      <c r="B28" s="83" t="s">
        <v>57</v>
      </c>
      <c r="C28" s="44" t="s">
        <v>30</v>
      </c>
      <c r="D28" s="202"/>
      <c r="E28" s="202"/>
      <c r="F28" s="315"/>
      <c r="G28" s="315"/>
      <c r="H28" s="315"/>
      <c r="I28" s="315"/>
      <c r="J28" s="315"/>
      <c r="K28" s="315"/>
      <c r="L28" s="316"/>
      <c r="M28" s="316"/>
      <c r="N28" s="316"/>
      <c r="O28" s="316"/>
      <c r="P28" s="316"/>
      <c r="Q28" s="316"/>
      <c r="R28" s="316"/>
      <c r="S28" s="316"/>
      <c r="T28" s="316"/>
      <c r="U28" s="316"/>
      <c r="V28" s="181">
        <f>SUM(F28:U28)</f>
        <v>0</v>
      </c>
      <c r="W28" s="181">
        <f t="shared" si="0"/>
        <v>31</v>
      </c>
      <c r="X28" s="181">
        <f>'REPORTE DIARIO'!AI28</f>
        <v>216</v>
      </c>
      <c r="Y28" s="181">
        <f>PROYECTADA!G28</f>
        <v>0</v>
      </c>
      <c r="Z28" s="181">
        <f t="shared" si="6"/>
        <v>0</v>
      </c>
      <c r="AA28" s="181">
        <f>PROYECTADA!D28/$AP$1*PLAME!X28</f>
        <v>1167.6666666666677</v>
      </c>
      <c r="AB28" s="181">
        <f>PROYECTADA!F28/$AP$3*($AP$3-L28)</f>
        <v>113</v>
      </c>
      <c r="AC28" s="210">
        <f t="shared" si="7"/>
        <v>1280.6666666666677</v>
      </c>
      <c r="AD28" s="181">
        <f t="shared" si="13"/>
        <v>12.801544000000009</v>
      </c>
      <c r="AE28" s="181">
        <f t="shared" si="2"/>
        <v>339</v>
      </c>
      <c r="AF28" s="181">
        <f t="shared" si="8"/>
        <v>213.35906666666682</v>
      </c>
      <c r="AG28" s="181">
        <f t="shared" si="9"/>
        <v>124.4808000000001</v>
      </c>
      <c r="AH28" s="45">
        <f>IF(OR(D28="SI", C28="SNP"), 0, VLOOKUP(C28, tbl_descuentos[], 2, FALSE) * SUM(Y28:AB28))</f>
        <v>21.64326666666668</v>
      </c>
      <c r="AI28" s="46">
        <v>0</v>
      </c>
      <c r="AJ28" s="46">
        <f>IF(OR(D28="SI", C28="SNP"), 0, VLOOKUP(C28, tbl_descuentos[], IF(E28 &gt; 65, 4, 3), FALSE) * SUM(Y28:AB28))</f>
        <v>17.545133333333347</v>
      </c>
      <c r="AK28" s="46">
        <f t="shared" si="10"/>
        <v>0</v>
      </c>
      <c r="AL28" s="46">
        <f t="shared" si="3"/>
        <v>128.06666666666678</v>
      </c>
      <c r="AM28" s="208">
        <f t="shared" si="11"/>
        <v>1803.0500000000002</v>
      </c>
      <c r="AN28" s="46">
        <f>PROYECTADA!P28</f>
        <v>9.7269181800000073</v>
      </c>
      <c r="AO28" s="46">
        <f t="shared" si="12"/>
        <v>76.84000000000006</v>
      </c>
      <c r="AP28" s="45">
        <f>PROYECTADA!Q28</f>
        <v>8.8005450200000048</v>
      </c>
      <c r="AQ28" s="67">
        <f>PROYECTADA!R28</f>
        <v>8.491753966666673</v>
      </c>
      <c r="AT28" s="1"/>
      <c r="AV28" s="1"/>
      <c r="AW28" s="1"/>
      <c r="AX28" s="2" t="str">
        <f t="shared" si="4"/>
        <v>ERROR</v>
      </c>
    </row>
    <row r="29" spans="1:50">
      <c r="A29" s="42">
        <v>23</v>
      </c>
      <c r="B29" s="83" t="s">
        <v>58</v>
      </c>
      <c r="C29" s="75" t="s">
        <v>40</v>
      </c>
      <c r="D29" s="202"/>
      <c r="E29" s="202"/>
      <c r="F29" s="315"/>
      <c r="G29" s="315"/>
      <c r="H29" s="315"/>
      <c r="I29" s="315"/>
      <c r="J29" s="315"/>
      <c r="K29" s="315"/>
      <c r="L29" s="316"/>
      <c r="M29" s="316"/>
      <c r="N29" s="316"/>
      <c r="O29" s="316"/>
      <c r="P29" s="316"/>
      <c r="Q29" s="316"/>
      <c r="R29" s="316"/>
      <c r="S29" s="316"/>
      <c r="T29" s="316"/>
      <c r="U29" s="316"/>
      <c r="V29" s="181">
        <f t="shared" ref="V29:V54" si="14">SUM(F29:U29)</f>
        <v>0</v>
      </c>
      <c r="W29" s="181">
        <f t="shared" si="0"/>
        <v>31</v>
      </c>
      <c r="X29" s="181">
        <f>'REPORTE DIARIO'!AI29</f>
        <v>208</v>
      </c>
      <c r="Y29" s="181">
        <f>PROYECTADA!G29</f>
        <v>0</v>
      </c>
      <c r="Z29" s="181">
        <f t="shared" si="6"/>
        <v>0</v>
      </c>
      <c r="AA29" s="181">
        <f>PROYECTADA!D29/$AP$1*PLAME!X29</f>
        <v>1124.4197530864205</v>
      </c>
      <c r="AB29" s="181">
        <f>PROYECTADA!F29/$AP$3*($AP$3-L29)</f>
        <v>0</v>
      </c>
      <c r="AC29" s="210">
        <f t="shared" si="7"/>
        <v>1124.4197530864205</v>
      </c>
      <c r="AD29" s="181">
        <f t="shared" si="13"/>
        <v>11.239699851851858</v>
      </c>
      <c r="AE29" s="181">
        <f t="shared" si="2"/>
        <v>339</v>
      </c>
      <c r="AF29" s="181">
        <f t="shared" si="8"/>
        <v>187.32833086419765</v>
      </c>
      <c r="AG29" s="181">
        <f t="shared" si="9"/>
        <v>109.29360000000008</v>
      </c>
      <c r="AH29" s="45">
        <f>IF(OR(D29="SI", C29="SNP"), 0, VLOOKUP(C29, tbl_descuentos[], 2, FALSE) * SUM(Y29:AB29))</f>
        <v>17.428506172839519</v>
      </c>
      <c r="AI29" s="46">
        <v>0</v>
      </c>
      <c r="AJ29" s="46">
        <f>IF(OR(D29="SI", C29="SNP"), 0, VLOOKUP(C29, tbl_descuentos[], IF(E29 &gt; 65, 4, 3), FALSE) * SUM(Y29:AB29))</f>
        <v>15.404550617283961</v>
      </c>
      <c r="AK29" s="46">
        <f t="shared" si="10"/>
        <v>0</v>
      </c>
      <c r="AL29" s="46">
        <f t="shared" si="3"/>
        <v>112.44197530864206</v>
      </c>
      <c r="AM29" s="208">
        <f t="shared" si="11"/>
        <v>1626.0100000000002</v>
      </c>
      <c r="AN29" s="46">
        <f>PROYECTADA!P29</f>
        <v>8.6804340000000071</v>
      </c>
      <c r="AO29" s="46">
        <f t="shared" si="12"/>
        <v>67.465185185185234</v>
      </c>
      <c r="AP29" s="45">
        <f>PROYECTADA!Q29</f>
        <v>7.8537260000000053</v>
      </c>
      <c r="AQ29" s="67">
        <f>PROYECTADA!R29</f>
        <v>7.5781566666666738</v>
      </c>
      <c r="AT29" s="1"/>
      <c r="AV29" s="1"/>
      <c r="AW29" s="1"/>
      <c r="AX29" s="2" t="str">
        <f t="shared" si="4"/>
        <v>ERROR</v>
      </c>
    </row>
    <row r="30" spans="1:50">
      <c r="A30" s="65">
        <v>24</v>
      </c>
      <c r="B30" s="83" t="s">
        <v>59</v>
      </c>
      <c r="C30" s="44" t="s">
        <v>30</v>
      </c>
      <c r="D30" s="202"/>
      <c r="E30" s="202"/>
      <c r="F30" s="315"/>
      <c r="G30" s="315"/>
      <c r="H30" s="315"/>
      <c r="I30" s="315"/>
      <c r="J30" s="315"/>
      <c r="K30" s="315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181">
        <f t="shared" si="14"/>
        <v>0</v>
      </c>
      <c r="W30" s="181">
        <f t="shared" si="0"/>
        <v>31</v>
      </c>
      <c r="X30" s="181">
        <f>'REPORTE DIARIO'!AI30</f>
        <v>216</v>
      </c>
      <c r="Y30" s="181">
        <f>PROYECTADA!G30</f>
        <v>0</v>
      </c>
      <c r="Z30" s="181">
        <f t="shared" si="6"/>
        <v>0</v>
      </c>
      <c r="AA30" s="181">
        <f>PROYECTADA!D30/$AP$1*PLAME!X30</f>
        <v>1167.6666666666677</v>
      </c>
      <c r="AB30" s="181">
        <f>PROYECTADA!F30/$AP$3*($AP$3-L30)</f>
        <v>0</v>
      </c>
      <c r="AC30" s="210">
        <f t="shared" si="7"/>
        <v>1167.6666666666677</v>
      </c>
      <c r="AD30" s="181">
        <f t="shared" si="13"/>
        <v>11.671996000000009</v>
      </c>
      <c r="AE30" s="181">
        <f t="shared" si="2"/>
        <v>339</v>
      </c>
      <c r="AF30" s="181">
        <f t="shared" si="8"/>
        <v>194.53326666666683</v>
      </c>
      <c r="AG30" s="181">
        <f t="shared" si="9"/>
        <v>113.49720000000011</v>
      </c>
      <c r="AH30" s="45">
        <f>IF(OR(D30="SI", C30="SNP"), 0, VLOOKUP(C30, tbl_descuentos[], 2, FALSE) * SUM(Y30:AB30))</f>
        <v>19.733566666666682</v>
      </c>
      <c r="AI30" s="46">
        <v>0</v>
      </c>
      <c r="AJ30" s="46">
        <f>IF(OR(D30="SI", C30="SNP"), 0, VLOOKUP(C30, tbl_descuentos[], IF(E30 &gt; 65, 4, 3), FALSE) * SUM(Y30:AB30))</f>
        <v>15.997033333333347</v>
      </c>
      <c r="AK30" s="46">
        <f t="shared" si="10"/>
        <v>0</v>
      </c>
      <c r="AL30" s="46">
        <f t="shared" si="3"/>
        <v>116.76666666666677</v>
      </c>
      <c r="AM30" s="208">
        <f t="shared" si="11"/>
        <v>1673.8700000000001</v>
      </c>
      <c r="AN30" s="46">
        <f>PROYECTADA!P30</f>
        <v>8.6804340000000071</v>
      </c>
      <c r="AO30" s="46">
        <f t="shared" si="12"/>
        <v>70.060000000000059</v>
      </c>
      <c r="AP30" s="45">
        <f>PROYECTADA!Q30</f>
        <v>7.8537260000000053</v>
      </c>
      <c r="AQ30" s="67">
        <f>PROYECTADA!R30</f>
        <v>7.5781566666666738</v>
      </c>
      <c r="AT30" s="1"/>
      <c r="AV30" s="1"/>
      <c r="AW30" s="1"/>
      <c r="AX30" s="2" t="str">
        <f t="shared" si="4"/>
        <v>ERROR</v>
      </c>
    </row>
    <row r="31" spans="1:50">
      <c r="A31" s="42">
        <v>25</v>
      </c>
      <c r="B31" s="56" t="s">
        <v>60</v>
      </c>
      <c r="C31" s="73" t="s">
        <v>38</v>
      </c>
      <c r="D31" s="202"/>
      <c r="E31" s="202"/>
      <c r="F31" s="315"/>
      <c r="G31" s="315"/>
      <c r="H31" s="315"/>
      <c r="I31" s="315"/>
      <c r="J31" s="315"/>
      <c r="K31" s="315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181">
        <f t="shared" si="14"/>
        <v>0</v>
      </c>
      <c r="W31" s="181">
        <f t="shared" si="0"/>
        <v>31</v>
      </c>
      <c r="X31" s="181">
        <f>'REPORTE DIARIO'!AI31</f>
        <v>216</v>
      </c>
      <c r="Y31" s="181">
        <f>PROYECTADA!G31</f>
        <v>0</v>
      </c>
      <c r="Z31" s="181">
        <f t="shared" si="6"/>
        <v>0</v>
      </c>
      <c r="AA31" s="181">
        <f>PROYECTADA!D31/$AP$1*PLAME!X31</f>
        <v>1167.6666666666677</v>
      </c>
      <c r="AB31" s="181">
        <f>PROYECTADA!F31/$AP$3*($AP$3-L31)</f>
        <v>0</v>
      </c>
      <c r="AC31" s="210">
        <f t="shared" si="7"/>
        <v>1167.6666666666677</v>
      </c>
      <c r="AD31" s="181">
        <f t="shared" si="13"/>
        <v>11.671996000000009</v>
      </c>
      <c r="AE31" s="181">
        <f t="shared" si="2"/>
        <v>339</v>
      </c>
      <c r="AF31" s="181">
        <f t="shared" si="8"/>
        <v>194.53326666666683</v>
      </c>
      <c r="AG31" s="181">
        <f t="shared" si="9"/>
        <v>113.49720000000011</v>
      </c>
      <c r="AH31" s="45">
        <f>IF(OR(D31="SI", C31="SNP"), 0, VLOOKUP(C31, tbl_descuentos[], 2, FALSE) * SUM(Y31:AB31))</f>
        <v>0</v>
      </c>
      <c r="AI31" s="46">
        <v>0</v>
      </c>
      <c r="AJ31" s="46">
        <f>IF(OR(D31="SI", C31="SNP"), 0, VLOOKUP(C31, tbl_descuentos[], IF(E31 &gt; 65, 4, 3), FALSE) * SUM(Y31:AB31))</f>
        <v>0</v>
      </c>
      <c r="AK31" s="46">
        <f t="shared" si="10"/>
        <v>151.79666666666679</v>
      </c>
      <c r="AL31" s="46">
        <f t="shared" si="3"/>
        <v>0</v>
      </c>
      <c r="AM31" s="208">
        <f t="shared" si="11"/>
        <v>1674.5700000000002</v>
      </c>
      <c r="AN31" s="46">
        <f>PROYECTADA!P31</f>
        <v>8.6804340000000071</v>
      </c>
      <c r="AO31" s="46">
        <f t="shared" si="12"/>
        <v>70.060000000000059</v>
      </c>
      <c r="AP31" s="45">
        <f>PROYECTADA!Q31</f>
        <v>7.8537260000000053</v>
      </c>
      <c r="AQ31" s="67">
        <f>PROYECTADA!R31</f>
        <v>7.5781566666666738</v>
      </c>
      <c r="AT31" s="1"/>
      <c r="AV31" s="1"/>
      <c r="AW31" s="1"/>
      <c r="AX31" s="2" t="str">
        <f t="shared" si="4"/>
        <v>ERROR</v>
      </c>
    </row>
    <row r="32" spans="1:50">
      <c r="A32" s="65">
        <v>26</v>
      </c>
      <c r="B32" s="83" t="s">
        <v>61</v>
      </c>
      <c r="C32" s="70" t="s">
        <v>36</v>
      </c>
      <c r="D32" s="202"/>
      <c r="E32" s="202"/>
      <c r="F32" s="315"/>
      <c r="G32" s="315"/>
      <c r="H32" s="315"/>
      <c r="I32" s="315"/>
      <c r="J32" s="315"/>
      <c r="K32" s="315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181">
        <f t="shared" si="14"/>
        <v>0</v>
      </c>
      <c r="W32" s="181">
        <f t="shared" si="0"/>
        <v>31</v>
      </c>
      <c r="X32" s="181">
        <f>'REPORTE DIARIO'!AI32</f>
        <v>216</v>
      </c>
      <c r="Y32" s="181">
        <f>PROYECTADA!G32</f>
        <v>0</v>
      </c>
      <c r="Z32" s="181">
        <f t="shared" si="6"/>
        <v>0</v>
      </c>
      <c r="AA32" s="181">
        <f>PROYECTADA!D32/$AP$1*PLAME!X32</f>
        <v>1167.6666666666677</v>
      </c>
      <c r="AB32" s="181">
        <f>PROYECTADA!F32/$AP$3*($AP$3-L32)</f>
        <v>113</v>
      </c>
      <c r="AC32" s="210">
        <f t="shared" si="7"/>
        <v>1280.6666666666677</v>
      </c>
      <c r="AD32" s="181">
        <f t="shared" si="13"/>
        <v>12.801544000000009</v>
      </c>
      <c r="AE32" s="181">
        <f t="shared" si="2"/>
        <v>339</v>
      </c>
      <c r="AF32" s="181">
        <f t="shared" si="8"/>
        <v>213.35906666666682</v>
      </c>
      <c r="AG32" s="181">
        <f t="shared" si="9"/>
        <v>124.4808000000001</v>
      </c>
      <c r="AH32" s="45">
        <f>IF(OR(D32="SI", C32="SNP"), 0, VLOOKUP(C32, tbl_descuentos[], 2, FALSE) * SUM(Y32:AB32))</f>
        <v>0</v>
      </c>
      <c r="AI32" s="46">
        <v>0</v>
      </c>
      <c r="AJ32" s="46">
        <f>IF(OR(D32="SI", C32="SNP"), 0, VLOOKUP(C32, tbl_descuentos[], IF(E32 &gt; 65, 4, 3), FALSE) * SUM(Y32:AB32))</f>
        <v>17.545133333333347</v>
      </c>
      <c r="AK32" s="46">
        <f t="shared" si="10"/>
        <v>0</v>
      </c>
      <c r="AL32" s="46">
        <f t="shared" si="3"/>
        <v>128.06666666666678</v>
      </c>
      <c r="AM32" s="208">
        <f t="shared" si="11"/>
        <v>1824.69</v>
      </c>
      <c r="AN32" s="46">
        <f>PROYECTADA!P32</f>
        <v>9.5204760000000075</v>
      </c>
      <c r="AO32" s="46">
        <f t="shared" si="12"/>
        <v>76.84000000000006</v>
      </c>
      <c r="AP32" s="45">
        <f>PROYECTADA!Q32</f>
        <v>8.6137640000000051</v>
      </c>
      <c r="AQ32" s="67">
        <f>PROYECTADA!R32</f>
        <v>8.3115266666666745</v>
      </c>
      <c r="AT32" s="1"/>
      <c r="AV32" s="1"/>
      <c r="AW32" s="1"/>
      <c r="AX32" s="2" t="str">
        <f t="shared" si="4"/>
        <v>ERROR</v>
      </c>
    </row>
    <row r="33" spans="1:50">
      <c r="A33" s="42">
        <v>27</v>
      </c>
      <c r="B33" s="83" t="s">
        <v>62</v>
      </c>
      <c r="C33" s="79" t="s">
        <v>49</v>
      </c>
      <c r="D33" s="202"/>
      <c r="E33" s="202"/>
      <c r="F33" s="315"/>
      <c r="G33" s="315"/>
      <c r="H33" s="315"/>
      <c r="I33" s="315"/>
      <c r="J33" s="315"/>
      <c r="K33" s="315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181">
        <f t="shared" si="14"/>
        <v>0</v>
      </c>
      <c r="W33" s="181">
        <f t="shared" si="0"/>
        <v>31</v>
      </c>
      <c r="X33" s="181">
        <f>'REPORTE DIARIO'!AI33</f>
        <v>216</v>
      </c>
      <c r="Y33" s="181">
        <f>PROYECTADA!G33</f>
        <v>0</v>
      </c>
      <c r="Z33" s="181">
        <f t="shared" si="6"/>
        <v>0</v>
      </c>
      <c r="AA33" s="181">
        <f>PROYECTADA!D33/$AP$1*PLAME!X33</f>
        <v>1167.6666666666677</v>
      </c>
      <c r="AB33" s="181">
        <f>PROYECTADA!F33/$AP$3*($AP$3-L33)</f>
        <v>113</v>
      </c>
      <c r="AC33" s="210">
        <f t="shared" si="7"/>
        <v>1280.6666666666677</v>
      </c>
      <c r="AD33" s="181">
        <f t="shared" si="13"/>
        <v>12.801544000000009</v>
      </c>
      <c r="AE33" s="181">
        <f t="shared" si="2"/>
        <v>339</v>
      </c>
      <c r="AF33" s="181">
        <f t="shared" si="8"/>
        <v>213.35906666666682</v>
      </c>
      <c r="AG33" s="181">
        <f t="shared" si="9"/>
        <v>124.4808000000001</v>
      </c>
      <c r="AH33" s="45">
        <f>IF(OR(D33="SI", C33="SNP"), 0, VLOOKUP(C33, tbl_descuentos[], 2, FALSE) * SUM(Y33:AB33))</f>
        <v>0</v>
      </c>
      <c r="AI33" s="46">
        <v>0</v>
      </c>
      <c r="AJ33" s="46">
        <f>IF(OR(D33="SI", C33="SNP"), 0, VLOOKUP(C33, tbl_descuentos[], IF(E33 &gt; 65, 4, 3), FALSE) * SUM(Y33:AB33))</f>
        <v>17.545133333333347</v>
      </c>
      <c r="AK33" s="46">
        <f t="shared" si="10"/>
        <v>0</v>
      </c>
      <c r="AL33" s="46">
        <f t="shared" si="3"/>
        <v>128.06666666666678</v>
      </c>
      <c r="AM33" s="208">
        <f t="shared" si="11"/>
        <v>1824.69</v>
      </c>
      <c r="AN33" s="46">
        <f>PROYECTADA!P33</f>
        <v>9.5204760000000075</v>
      </c>
      <c r="AO33" s="46">
        <f t="shared" si="12"/>
        <v>76.84000000000006</v>
      </c>
      <c r="AP33" s="45">
        <f>PROYECTADA!Q33</f>
        <v>8.6137640000000051</v>
      </c>
      <c r="AQ33" s="67">
        <f>PROYECTADA!R33</f>
        <v>8.3115266666666745</v>
      </c>
      <c r="AT33" s="1"/>
      <c r="AV33" s="1"/>
      <c r="AW33" s="1"/>
      <c r="AX33" s="2" t="str">
        <f t="shared" si="4"/>
        <v>ERROR</v>
      </c>
    </row>
    <row r="34" spans="1:50">
      <c r="A34" s="65">
        <v>28</v>
      </c>
      <c r="B34" s="83" t="s">
        <v>63</v>
      </c>
      <c r="C34" s="44" t="s">
        <v>30</v>
      </c>
      <c r="D34" s="202"/>
      <c r="E34" s="202"/>
      <c r="F34" s="315"/>
      <c r="G34" s="315"/>
      <c r="H34" s="315"/>
      <c r="I34" s="315"/>
      <c r="J34" s="315"/>
      <c r="K34" s="315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181">
        <f t="shared" si="14"/>
        <v>0</v>
      </c>
      <c r="W34" s="181">
        <f t="shared" si="0"/>
        <v>31</v>
      </c>
      <c r="X34" s="181">
        <f>'REPORTE DIARIO'!AI34</f>
        <v>8</v>
      </c>
      <c r="Y34" s="181">
        <f>PROYECTADA!G34</f>
        <v>0</v>
      </c>
      <c r="Z34" s="181">
        <f t="shared" si="6"/>
        <v>0</v>
      </c>
      <c r="AA34" s="181">
        <f>PROYECTADA!D34/$AP$1*PLAME!X34</f>
        <v>43.246913580246947</v>
      </c>
      <c r="AB34" s="181">
        <f>PROYECTADA!F34/$AP$3*($AP$3-L34)</f>
        <v>0</v>
      </c>
      <c r="AC34" s="210">
        <f t="shared" si="7"/>
        <v>43.246913580246947</v>
      </c>
      <c r="AD34" s="181">
        <f t="shared" si="13"/>
        <v>0.43229614814814848</v>
      </c>
      <c r="AE34" s="181">
        <f t="shared" si="2"/>
        <v>339</v>
      </c>
      <c r="AF34" s="181">
        <f t="shared" si="8"/>
        <v>7.2049358024691417</v>
      </c>
      <c r="AG34" s="181">
        <f t="shared" si="9"/>
        <v>4.2036000000000033</v>
      </c>
      <c r="AH34" s="45">
        <f>IF(OR(D34="SI", C34="SNP"), 0, VLOOKUP(C34, tbl_descuentos[], 2, FALSE) * SUM(Y34:AB34))</f>
        <v>0.73087283950617332</v>
      </c>
      <c r="AI34" s="46">
        <v>0</v>
      </c>
      <c r="AJ34" s="46">
        <f>IF(OR(D34="SI", C34="SNP"), 0, VLOOKUP(C34, tbl_descuentos[], IF(E34 &gt; 65, 4, 3), FALSE) * SUM(Y34:AB34))</f>
        <v>0.59248271604938318</v>
      </c>
      <c r="AK34" s="46">
        <f t="shared" si="10"/>
        <v>0</v>
      </c>
      <c r="AL34" s="46">
        <f t="shared" si="3"/>
        <v>4.3246913580246948</v>
      </c>
      <c r="AM34" s="208">
        <f t="shared" si="11"/>
        <v>388.44</v>
      </c>
      <c r="AN34" s="46">
        <f>PROYECTADA!P34</f>
        <v>8.6804340000000071</v>
      </c>
      <c r="AO34" s="46">
        <f t="shared" si="12"/>
        <v>2.5948148148148169</v>
      </c>
      <c r="AP34" s="45">
        <f>PROYECTADA!Q34</f>
        <v>7.8537260000000053</v>
      </c>
      <c r="AQ34" s="67">
        <f>PROYECTADA!R34</f>
        <v>7.5781566666666738</v>
      </c>
      <c r="AT34" s="1"/>
      <c r="AV34" s="1"/>
      <c r="AW34" s="1"/>
      <c r="AX34" s="2" t="str">
        <f t="shared" ref="AX34:AX54" si="15">IF(AND(AM34=AS34,AN34,AT34,AO34,AU34,AP34,AV34,AQ34,AW34),"OK","ERROR")</f>
        <v>ERROR</v>
      </c>
    </row>
    <row r="35" spans="1:50">
      <c r="A35" s="42">
        <v>29</v>
      </c>
      <c r="B35" s="86" t="s">
        <v>64</v>
      </c>
      <c r="C35" s="87" t="s">
        <v>65</v>
      </c>
      <c r="D35" s="202" t="s">
        <v>165</v>
      </c>
      <c r="E35" s="202"/>
      <c r="F35" s="315"/>
      <c r="G35" s="315"/>
      <c r="H35" s="315"/>
      <c r="I35" s="315"/>
      <c r="J35" s="315"/>
      <c r="K35" s="315"/>
      <c r="L35" s="316">
        <v>2</v>
      </c>
      <c r="M35" s="316"/>
      <c r="N35" s="316"/>
      <c r="O35" s="316"/>
      <c r="P35" s="316"/>
      <c r="Q35" s="316"/>
      <c r="R35" s="316"/>
      <c r="S35" s="316"/>
      <c r="T35" s="316"/>
      <c r="U35" s="316"/>
      <c r="V35" s="181">
        <f t="shared" si="14"/>
        <v>2</v>
      </c>
      <c r="W35" s="181">
        <f t="shared" si="0"/>
        <v>29</v>
      </c>
      <c r="X35" s="181">
        <f>'REPORTE DIARIO'!AI35</f>
        <v>202</v>
      </c>
      <c r="Y35" s="181">
        <f>PROYECTADA!G35</f>
        <v>0</v>
      </c>
      <c r="Z35" s="181">
        <f t="shared" si="6"/>
        <v>0</v>
      </c>
      <c r="AA35" s="181">
        <f>PROYECTADA!D35/$AP$1*PLAME!X35</f>
        <v>1091.9845679012353</v>
      </c>
      <c r="AB35" s="181">
        <f>PROYECTADA!F35/$AP$3*($AP$3-L35)</f>
        <v>0</v>
      </c>
      <c r="AC35" s="210">
        <f t="shared" si="7"/>
        <v>1091.9845679012353</v>
      </c>
      <c r="AD35" s="181">
        <f t="shared" si="13"/>
        <v>10.915477740740748</v>
      </c>
      <c r="AE35" s="181">
        <f>((30%*1130)/$AP$3)*($AP$3-L35)</f>
        <v>317.12903225806451</v>
      </c>
      <c r="AF35" s="181">
        <f t="shared" si="8"/>
        <v>181.9246290123458</v>
      </c>
      <c r="AG35" s="181">
        <f t="shared" si="9"/>
        <v>106.14090000000009</v>
      </c>
      <c r="AH35" s="45">
        <f>IF(OR(D35="SI", C35="SNP"), 0, VLOOKUP(C35, tbl_descuentos[], 2, FALSE) * SUM(Y35:AB35))</f>
        <v>0</v>
      </c>
      <c r="AI35" s="46">
        <v>0</v>
      </c>
      <c r="AJ35" s="46">
        <f>IF(OR(D35="SI", C35="SNP"), 0, VLOOKUP(C35, tbl_descuentos[], IF(E35 &gt; 65, 4, 3), FALSE) * SUM(Y35:AB35))</f>
        <v>0</v>
      </c>
      <c r="AK35" s="46">
        <f t="shared" si="10"/>
        <v>0</v>
      </c>
      <c r="AL35" s="46">
        <f t="shared" si="3"/>
        <v>0</v>
      </c>
      <c r="AM35" s="208">
        <f t="shared" si="11"/>
        <v>1708.0900000000001</v>
      </c>
      <c r="AN35" s="46">
        <f>PROYECTADA!P35</f>
        <v>8.6804340000000071</v>
      </c>
      <c r="AO35" s="46">
        <f t="shared" si="12"/>
        <v>65.519074074074112</v>
      </c>
      <c r="AP35" s="45">
        <f>PROYECTADA!Q35</f>
        <v>7.8537260000000053</v>
      </c>
      <c r="AQ35" s="67">
        <f>PROYECTADA!R35</f>
        <v>7.5781566666666738</v>
      </c>
      <c r="AS35" s="2">
        <v>1708.0900000000001</v>
      </c>
      <c r="AT35" s="1">
        <v>8.6804340000000071</v>
      </c>
      <c r="AU35" s="1">
        <v>65.519074074074112</v>
      </c>
      <c r="AV35" s="1">
        <v>7.8537260000000053</v>
      </c>
      <c r="AW35" s="1">
        <v>7.5781566666666738</v>
      </c>
      <c r="AX35" s="2" t="str">
        <f t="shared" si="15"/>
        <v>OK</v>
      </c>
    </row>
    <row r="36" spans="1:50">
      <c r="A36" s="65">
        <v>30</v>
      </c>
      <c r="B36" s="86" t="s">
        <v>66</v>
      </c>
      <c r="C36" s="88" t="s">
        <v>38</v>
      </c>
      <c r="D36" s="202" t="s">
        <v>165</v>
      </c>
      <c r="E36" s="202"/>
      <c r="F36" s="315"/>
      <c r="G36" s="315"/>
      <c r="H36" s="315"/>
      <c r="I36" s="315"/>
      <c r="J36" s="315"/>
      <c r="K36" s="315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181">
        <f t="shared" si="14"/>
        <v>0</v>
      </c>
      <c r="W36" s="181">
        <f t="shared" si="0"/>
        <v>31</v>
      </c>
      <c r="X36" s="181">
        <f>'REPORTE DIARIO'!AI36</f>
        <v>216</v>
      </c>
      <c r="Y36" s="181">
        <f>PROYECTADA!G36</f>
        <v>0</v>
      </c>
      <c r="Z36" s="181">
        <f t="shared" si="6"/>
        <v>0</v>
      </c>
      <c r="AA36" s="181">
        <f>PROYECTADA!D36/$AP$1*PLAME!X36</f>
        <v>1167.6666666666677</v>
      </c>
      <c r="AB36" s="181">
        <f>PROYECTADA!F36/$AP$3*($AP$3-L36)</f>
        <v>0</v>
      </c>
      <c r="AC36" s="210">
        <f t="shared" si="7"/>
        <v>1167.6666666666677</v>
      </c>
      <c r="AD36" s="181">
        <f t="shared" si="13"/>
        <v>11.671996000000009</v>
      </c>
      <c r="AE36" s="181">
        <f t="shared" ref="AE36:AE54" si="16">((30%*1130)/$AP$3)*($AP$3-L36)</f>
        <v>339</v>
      </c>
      <c r="AF36" s="181">
        <f t="shared" si="8"/>
        <v>194.53326666666683</v>
      </c>
      <c r="AG36" s="181">
        <f t="shared" si="9"/>
        <v>113.49720000000011</v>
      </c>
      <c r="AH36" s="45">
        <f>IF(OR(D36="SI", C36="SNP"), 0, VLOOKUP(C36, tbl_descuentos[], 2, FALSE) * SUM(Y36:AB36))</f>
        <v>0</v>
      </c>
      <c r="AI36" s="46">
        <v>0</v>
      </c>
      <c r="AJ36" s="46">
        <f>IF(OR(D36="SI", C36="SNP"), 0, VLOOKUP(C36, tbl_descuentos[], IF(E36 &gt; 65, 4, 3), FALSE) * SUM(Y36:AB36))</f>
        <v>0</v>
      </c>
      <c r="AK36" s="46">
        <f t="shared" si="10"/>
        <v>0</v>
      </c>
      <c r="AL36" s="46">
        <f t="shared" si="3"/>
        <v>0</v>
      </c>
      <c r="AM36" s="208">
        <f t="shared" si="11"/>
        <v>1826.3700000000001</v>
      </c>
      <c r="AN36" s="46">
        <f>PROYECTADA!P36</f>
        <v>8.6804340000000071</v>
      </c>
      <c r="AO36" s="46">
        <f t="shared" si="12"/>
        <v>70.060000000000059</v>
      </c>
      <c r="AP36" s="45">
        <f>PROYECTADA!Q36</f>
        <v>7.8537260000000053</v>
      </c>
      <c r="AQ36" s="67">
        <f>PROYECTADA!R36</f>
        <v>7.5781566666666738</v>
      </c>
      <c r="AS36" s="2">
        <v>1826.3700000000001</v>
      </c>
      <c r="AT36" s="1">
        <v>8.6804340000000071</v>
      </c>
      <c r="AU36" s="2">
        <v>70.060000000000059</v>
      </c>
      <c r="AV36" s="1">
        <v>7.8537260000000053</v>
      </c>
      <c r="AW36" s="1">
        <v>7.5781566666666738</v>
      </c>
      <c r="AX36" s="2" t="str">
        <f t="shared" si="15"/>
        <v>OK</v>
      </c>
    </row>
    <row r="37" spans="1:50">
      <c r="A37" s="42">
        <v>31</v>
      </c>
      <c r="B37" s="83" t="s">
        <v>67</v>
      </c>
      <c r="C37" s="73" t="s">
        <v>38</v>
      </c>
      <c r="D37" s="202"/>
      <c r="E37" s="202"/>
      <c r="F37" s="315"/>
      <c r="G37" s="315"/>
      <c r="H37" s="315"/>
      <c r="I37" s="315"/>
      <c r="J37" s="315"/>
      <c r="K37" s="315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181">
        <f t="shared" si="14"/>
        <v>0</v>
      </c>
      <c r="W37" s="181">
        <f t="shared" si="0"/>
        <v>31</v>
      </c>
      <c r="X37" s="181">
        <f>'REPORTE DIARIO'!AI37</f>
        <v>216</v>
      </c>
      <c r="Y37" s="181">
        <f>PROYECTADA!G37</f>
        <v>0</v>
      </c>
      <c r="Z37" s="181">
        <f t="shared" si="6"/>
        <v>0</v>
      </c>
      <c r="AA37" s="181">
        <f>PROYECTADA!D37/$AP$1*PLAME!X37</f>
        <v>1167.6666666666677</v>
      </c>
      <c r="AB37" s="181">
        <f>PROYECTADA!F37/$AP$3*($AP$3-L37)</f>
        <v>113</v>
      </c>
      <c r="AC37" s="210">
        <f t="shared" si="7"/>
        <v>1280.6666666666677</v>
      </c>
      <c r="AD37" s="181">
        <f t="shared" si="13"/>
        <v>12.801544000000009</v>
      </c>
      <c r="AE37" s="181">
        <f t="shared" si="16"/>
        <v>339</v>
      </c>
      <c r="AF37" s="181">
        <f t="shared" si="8"/>
        <v>213.35906666666682</v>
      </c>
      <c r="AG37" s="181">
        <f t="shared" si="9"/>
        <v>124.4808000000001</v>
      </c>
      <c r="AH37" s="45">
        <f>IF(OR(D37="SI", C37="SNP"), 0, VLOOKUP(C37, tbl_descuentos[], 2, FALSE) * SUM(Y37:AB37))</f>
        <v>0</v>
      </c>
      <c r="AI37" s="46">
        <v>0</v>
      </c>
      <c r="AJ37" s="46">
        <f>IF(OR(D37="SI", C37="SNP"), 0, VLOOKUP(C37, tbl_descuentos[], IF(E37 &gt; 65, 4, 3), FALSE) * SUM(Y37:AB37))</f>
        <v>0</v>
      </c>
      <c r="AK37" s="46">
        <f t="shared" si="10"/>
        <v>166.48666666666679</v>
      </c>
      <c r="AL37" s="46">
        <f t="shared" si="3"/>
        <v>0</v>
      </c>
      <c r="AM37" s="208">
        <f t="shared" si="11"/>
        <v>1803.8200000000002</v>
      </c>
      <c r="AN37" s="46">
        <f>PROYECTADA!P37</f>
        <v>9.5204760000000075</v>
      </c>
      <c r="AO37" s="46">
        <f t="shared" si="12"/>
        <v>76.84000000000006</v>
      </c>
      <c r="AP37" s="45">
        <f>PROYECTADA!Q37</f>
        <v>8.6137640000000051</v>
      </c>
      <c r="AQ37" s="67">
        <f>PROYECTADA!R37</f>
        <v>8.3115266666666745</v>
      </c>
      <c r="AS37" s="2">
        <v>1803.8200000000002</v>
      </c>
      <c r="AT37" s="1">
        <v>9.5204760000000075</v>
      </c>
      <c r="AU37" s="2">
        <v>76.84000000000006</v>
      </c>
      <c r="AV37" s="1">
        <v>8.6137640000000051</v>
      </c>
      <c r="AW37" s="1">
        <v>8.3115266666666745</v>
      </c>
      <c r="AX37" s="2" t="str">
        <f t="shared" si="15"/>
        <v>OK</v>
      </c>
    </row>
    <row r="38" spans="1:50">
      <c r="A38" s="65">
        <v>32</v>
      </c>
      <c r="B38" s="83" t="s">
        <v>68</v>
      </c>
      <c r="C38" s="73" t="s">
        <v>38</v>
      </c>
      <c r="D38" s="202"/>
      <c r="E38" s="202"/>
      <c r="F38" s="315"/>
      <c r="G38" s="315"/>
      <c r="H38" s="315"/>
      <c r="I38" s="315"/>
      <c r="J38" s="315"/>
      <c r="K38" s="315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181">
        <f t="shared" si="14"/>
        <v>0</v>
      </c>
      <c r="W38" s="181">
        <f t="shared" si="0"/>
        <v>31</v>
      </c>
      <c r="X38" s="181">
        <f>'REPORTE DIARIO'!AI38</f>
        <v>216</v>
      </c>
      <c r="Y38" s="181">
        <f>PROYECTADA!G38</f>
        <v>0</v>
      </c>
      <c r="Z38" s="181">
        <f t="shared" si="6"/>
        <v>0</v>
      </c>
      <c r="AA38" s="181">
        <f>PROYECTADA!D38/$AP$1*PLAME!X38</f>
        <v>1167.6666666666677</v>
      </c>
      <c r="AB38" s="181">
        <f>PROYECTADA!F38/$AP$3*($AP$3-L38)</f>
        <v>113</v>
      </c>
      <c r="AC38" s="210">
        <f t="shared" si="7"/>
        <v>1280.6666666666677</v>
      </c>
      <c r="AD38" s="181">
        <f t="shared" si="13"/>
        <v>12.801544000000009</v>
      </c>
      <c r="AE38" s="181">
        <f t="shared" si="16"/>
        <v>339</v>
      </c>
      <c r="AF38" s="181">
        <f t="shared" si="8"/>
        <v>213.35906666666682</v>
      </c>
      <c r="AG38" s="181">
        <f t="shared" si="9"/>
        <v>124.4808000000001</v>
      </c>
      <c r="AH38" s="45">
        <f>IF(OR(D38="SI", C38="SNP"), 0, VLOOKUP(C38, tbl_descuentos[], 2, FALSE) * SUM(Y38:AB38))</f>
        <v>0</v>
      </c>
      <c r="AI38" s="46">
        <v>0</v>
      </c>
      <c r="AJ38" s="46">
        <f>IF(OR(D38="SI", C38="SNP"), 0, VLOOKUP(C38, tbl_descuentos[], IF(E38 &gt; 65, 4, 3), FALSE) * SUM(Y38:AB38))</f>
        <v>0</v>
      </c>
      <c r="AK38" s="46">
        <f t="shared" si="10"/>
        <v>166.48666666666679</v>
      </c>
      <c r="AL38" s="46">
        <f t="shared" si="3"/>
        <v>0</v>
      </c>
      <c r="AM38" s="208">
        <f t="shared" si="11"/>
        <v>1803.8200000000002</v>
      </c>
      <c r="AN38" s="46">
        <f>PROYECTADA!P38</f>
        <v>9.5204760000000075</v>
      </c>
      <c r="AO38" s="46">
        <f t="shared" si="12"/>
        <v>76.84000000000006</v>
      </c>
      <c r="AP38" s="45">
        <f>PROYECTADA!Q38</f>
        <v>8.6137640000000051</v>
      </c>
      <c r="AQ38" s="67">
        <f>PROYECTADA!R38</f>
        <v>8.3115266666666745</v>
      </c>
      <c r="AT38" s="1"/>
      <c r="AV38" s="1"/>
      <c r="AW38" s="1"/>
      <c r="AX38" s="2" t="str">
        <f t="shared" si="15"/>
        <v>ERROR</v>
      </c>
    </row>
    <row r="39" spans="1:50">
      <c r="A39" s="42">
        <v>33</v>
      </c>
      <c r="B39" s="83" t="s">
        <v>69</v>
      </c>
      <c r="C39" s="44" t="s">
        <v>30</v>
      </c>
      <c r="D39" s="202"/>
      <c r="E39" s="202"/>
      <c r="F39" s="315"/>
      <c r="G39" s="315"/>
      <c r="H39" s="315"/>
      <c r="I39" s="315"/>
      <c r="J39" s="315"/>
      <c r="K39" s="315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181">
        <f t="shared" si="14"/>
        <v>0</v>
      </c>
      <c r="W39" s="181">
        <f t="shared" si="0"/>
        <v>31</v>
      </c>
      <c r="X39" s="181">
        <f>'REPORTE DIARIO'!AI39</f>
        <v>216</v>
      </c>
      <c r="Y39" s="181">
        <f>PROYECTADA!G39</f>
        <v>0</v>
      </c>
      <c r="Z39" s="181">
        <f t="shared" si="6"/>
        <v>0</v>
      </c>
      <c r="AA39" s="181">
        <f>PROYECTADA!D39/$AP$1*PLAME!X39</f>
        <v>1167.6666666666677</v>
      </c>
      <c r="AB39" s="181">
        <f>PROYECTADA!F39/$AP$3*($AP$3-L39)</f>
        <v>113</v>
      </c>
      <c r="AC39" s="210">
        <f t="shared" si="7"/>
        <v>1280.6666666666677</v>
      </c>
      <c r="AD39" s="181">
        <f t="shared" si="13"/>
        <v>12.801544000000009</v>
      </c>
      <c r="AE39" s="181">
        <f t="shared" si="16"/>
        <v>339</v>
      </c>
      <c r="AF39" s="181">
        <f t="shared" si="8"/>
        <v>213.35906666666682</v>
      </c>
      <c r="AG39" s="181">
        <f t="shared" si="9"/>
        <v>124.4808000000001</v>
      </c>
      <c r="AH39" s="45">
        <f>IF(OR(D39="SI", C39="SNP"), 0, VLOOKUP(C39, tbl_descuentos[], 2, FALSE) * SUM(Y39:AB39))</f>
        <v>21.64326666666668</v>
      </c>
      <c r="AI39" s="46">
        <v>0</v>
      </c>
      <c r="AJ39" s="46">
        <f>IF(OR(D39="SI", C39="SNP"), 0, VLOOKUP(C39, tbl_descuentos[], IF(E39 &gt; 65, 4, 3), FALSE) * SUM(Y39:AB39))</f>
        <v>17.545133333333347</v>
      </c>
      <c r="AK39" s="46">
        <f t="shared" si="10"/>
        <v>0</v>
      </c>
      <c r="AL39" s="46">
        <f t="shared" si="3"/>
        <v>128.06666666666678</v>
      </c>
      <c r="AM39" s="208">
        <f t="shared" si="11"/>
        <v>1803.0500000000002</v>
      </c>
      <c r="AN39" s="46">
        <f>PROYECTADA!P39</f>
        <v>10.315169856600008</v>
      </c>
      <c r="AO39" s="46">
        <f t="shared" si="12"/>
        <v>76.84000000000006</v>
      </c>
      <c r="AP39" s="45">
        <f>PROYECTADA!Q39</f>
        <v>9.3327727274000054</v>
      </c>
      <c r="AQ39" s="67">
        <f>PROYECTADA!R39</f>
        <v>9.0053070176666754</v>
      </c>
      <c r="AT39" s="1"/>
      <c r="AV39" s="1"/>
      <c r="AW39" s="1"/>
      <c r="AX39" s="2" t="str">
        <f t="shared" si="15"/>
        <v>ERROR</v>
      </c>
    </row>
    <row r="40" spans="1:50">
      <c r="A40" s="65">
        <v>34</v>
      </c>
      <c r="B40" s="83" t="s">
        <v>70</v>
      </c>
      <c r="C40" s="70" t="s">
        <v>36</v>
      </c>
      <c r="D40" s="202"/>
      <c r="E40" s="202"/>
      <c r="F40" s="315"/>
      <c r="G40" s="315"/>
      <c r="H40" s="315"/>
      <c r="I40" s="315"/>
      <c r="J40" s="315"/>
      <c r="K40" s="315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181">
        <f t="shared" si="14"/>
        <v>0</v>
      </c>
      <c r="W40" s="181">
        <f t="shared" si="0"/>
        <v>31</v>
      </c>
      <c r="X40" s="181">
        <f>'REPORTE DIARIO'!AI40</f>
        <v>216</v>
      </c>
      <c r="Y40" s="181">
        <f>PROYECTADA!G40</f>
        <v>0</v>
      </c>
      <c r="Z40" s="181">
        <f t="shared" si="6"/>
        <v>0</v>
      </c>
      <c r="AA40" s="181">
        <f>PROYECTADA!D40/$AP$1*PLAME!X40</f>
        <v>1167.6666666666677</v>
      </c>
      <c r="AB40" s="181">
        <f>PROYECTADA!F40/$AP$3*($AP$3-L40)</f>
        <v>0</v>
      </c>
      <c r="AC40" s="210">
        <f t="shared" si="7"/>
        <v>1167.6666666666677</v>
      </c>
      <c r="AD40" s="181">
        <f t="shared" si="13"/>
        <v>11.671996000000009</v>
      </c>
      <c r="AE40" s="181">
        <f t="shared" si="16"/>
        <v>339</v>
      </c>
      <c r="AF40" s="181">
        <f t="shared" si="8"/>
        <v>194.53326666666683</v>
      </c>
      <c r="AG40" s="181">
        <f t="shared" si="9"/>
        <v>113.49720000000011</v>
      </c>
      <c r="AH40" s="45">
        <f>IF(OR(D40="SI", C40="SNP"), 0, VLOOKUP(C40, tbl_descuentos[], 2, FALSE) * SUM(Y40:AB40))</f>
        <v>0</v>
      </c>
      <c r="AI40" s="46">
        <v>0</v>
      </c>
      <c r="AJ40" s="46">
        <f>IF(OR(D40="SI", C40="SNP"), 0, VLOOKUP(C40, tbl_descuentos[], IF(E40 &gt; 65, 4, 3), FALSE) * SUM(Y40:AB40))</f>
        <v>15.997033333333347</v>
      </c>
      <c r="AK40" s="46">
        <f t="shared" si="10"/>
        <v>0</v>
      </c>
      <c r="AL40" s="46">
        <f t="shared" si="3"/>
        <v>116.76666666666677</v>
      </c>
      <c r="AM40" s="208">
        <f t="shared" si="11"/>
        <v>1693.6000000000001</v>
      </c>
      <c r="AN40" s="46">
        <f>PROYECTADA!P40</f>
        <v>8.6804340000000071</v>
      </c>
      <c r="AO40" s="46">
        <f t="shared" si="12"/>
        <v>70.060000000000059</v>
      </c>
      <c r="AP40" s="45">
        <f>PROYECTADA!Q40</f>
        <v>7.8537260000000053</v>
      </c>
      <c r="AQ40" s="67">
        <f>PROYECTADA!R40</f>
        <v>7.5781566666666738</v>
      </c>
      <c r="AT40" s="1"/>
      <c r="AV40" s="1"/>
      <c r="AW40" s="1"/>
      <c r="AX40" s="2" t="str">
        <f t="shared" si="15"/>
        <v>ERROR</v>
      </c>
    </row>
    <row r="41" spans="1:50">
      <c r="A41" s="42">
        <v>35</v>
      </c>
      <c r="B41" s="83" t="s">
        <v>71</v>
      </c>
      <c r="C41" s="44" t="s">
        <v>30</v>
      </c>
      <c r="D41" s="202"/>
      <c r="E41" s="202"/>
      <c r="F41" s="315"/>
      <c r="G41" s="315"/>
      <c r="H41" s="315"/>
      <c r="I41" s="315"/>
      <c r="J41" s="315"/>
      <c r="K41" s="315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181">
        <f t="shared" si="14"/>
        <v>0</v>
      </c>
      <c r="W41" s="181">
        <f t="shared" si="0"/>
        <v>31</v>
      </c>
      <c r="X41" s="181">
        <f>'REPORTE DIARIO'!AI41</f>
        <v>216</v>
      </c>
      <c r="Y41" s="181">
        <f>PROYECTADA!G41</f>
        <v>0</v>
      </c>
      <c r="Z41" s="181">
        <f t="shared" si="6"/>
        <v>0</v>
      </c>
      <c r="AA41" s="181">
        <f>PROYECTADA!D41/$AP$1*PLAME!X41</f>
        <v>1167.6666666666677</v>
      </c>
      <c r="AB41" s="181">
        <f>PROYECTADA!F41/$AP$3*($AP$3-L41)</f>
        <v>113</v>
      </c>
      <c r="AC41" s="210">
        <f t="shared" si="7"/>
        <v>1280.6666666666677</v>
      </c>
      <c r="AD41" s="181">
        <f t="shared" si="13"/>
        <v>12.801544000000009</v>
      </c>
      <c r="AE41" s="181">
        <f t="shared" si="16"/>
        <v>339</v>
      </c>
      <c r="AF41" s="181">
        <f t="shared" si="8"/>
        <v>213.35906666666682</v>
      </c>
      <c r="AG41" s="181">
        <f t="shared" si="9"/>
        <v>124.4808000000001</v>
      </c>
      <c r="AH41" s="45">
        <f>IF(OR(D41="SI", C41="SNP"), 0, VLOOKUP(C41, tbl_descuentos[], 2, FALSE) * SUM(Y41:AB41))</f>
        <v>21.64326666666668</v>
      </c>
      <c r="AI41" s="46">
        <v>0</v>
      </c>
      <c r="AJ41" s="46">
        <f>IF(OR(D41="SI", C41="SNP"), 0, VLOOKUP(C41, tbl_descuentos[], IF(E41 &gt; 65, 4, 3), FALSE) * SUM(Y41:AB41))</f>
        <v>17.545133333333347</v>
      </c>
      <c r="AK41" s="46">
        <f t="shared" si="10"/>
        <v>0</v>
      </c>
      <c r="AL41" s="46">
        <f t="shared" si="3"/>
        <v>128.06666666666678</v>
      </c>
      <c r="AM41" s="208">
        <f t="shared" si="11"/>
        <v>1803.0500000000002</v>
      </c>
      <c r="AN41" s="46">
        <f>PROYECTADA!P41</f>
        <v>9.5204760000000075</v>
      </c>
      <c r="AO41" s="46">
        <f t="shared" si="12"/>
        <v>76.84000000000006</v>
      </c>
      <c r="AP41" s="45">
        <f>PROYECTADA!Q41</f>
        <v>8.6137640000000051</v>
      </c>
      <c r="AQ41" s="67">
        <f>PROYECTADA!R41</f>
        <v>8.3115266666666745</v>
      </c>
      <c r="AT41" s="1"/>
      <c r="AV41" s="1"/>
      <c r="AW41" s="1"/>
      <c r="AX41" s="2" t="str">
        <f t="shared" si="15"/>
        <v>ERROR</v>
      </c>
    </row>
    <row r="42" spans="1:50">
      <c r="A42" s="65">
        <v>36</v>
      </c>
      <c r="B42" s="83" t="s">
        <v>72</v>
      </c>
      <c r="C42" s="77" t="s">
        <v>43</v>
      </c>
      <c r="D42" s="202"/>
      <c r="E42" s="202"/>
      <c r="F42" s="315"/>
      <c r="G42" s="315"/>
      <c r="H42" s="315"/>
      <c r="I42" s="315"/>
      <c r="J42" s="315"/>
      <c r="K42" s="315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181">
        <f t="shared" si="14"/>
        <v>0</v>
      </c>
      <c r="W42" s="181">
        <f t="shared" si="0"/>
        <v>31</v>
      </c>
      <c r="X42" s="181">
        <f>'REPORTE DIARIO'!AI42</f>
        <v>216</v>
      </c>
      <c r="Y42" s="181">
        <f>PROYECTADA!G42</f>
        <v>0</v>
      </c>
      <c r="Z42" s="181">
        <f t="shared" si="6"/>
        <v>0</v>
      </c>
      <c r="AA42" s="181">
        <f>PROYECTADA!D42/$AP$1*PLAME!X42</f>
        <v>1167.6666666666677</v>
      </c>
      <c r="AB42" s="181">
        <f>PROYECTADA!F42/$AP$3*($AP$3-L42)</f>
        <v>0</v>
      </c>
      <c r="AC42" s="210">
        <f t="shared" si="7"/>
        <v>1167.6666666666677</v>
      </c>
      <c r="AD42" s="181">
        <f t="shared" si="13"/>
        <v>11.671996000000009</v>
      </c>
      <c r="AE42" s="181">
        <f t="shared" si="16"/>
        <v>339</v>
      </c>
      <c r="AF42" s="181">
        <f t="shared" si="8"/>
        <v>194.53326666666683</v>
      </c>
      <c r="AG42" s="181">
        <f t="shared" si="9"/>
        <v>113.49720000000011</v>
      </c>
      <c r="AH42" s="45">
        <f>IF(OR(D42="SI", C42="SNP"), 0, VLOOKUP(C42, tbl_descuentos[], 2, FALSE) * SUM(Y42:AB42))</f>
        <v>0</v>
      </c>
      <c r="AI42" s="46">
        <v>0</v>
      </c>
      <c r="AJ42" s="46">
        <f>IF(OR(D42="SI", C42="SNP"), 0, VLOOKUP(C42, tbl_descuentos[], IF(E42 &gt; 65, 4, 3), FALSE) * SUM(Y42:AB42))</f>
        <v>15.997033333333347</v>
      </c>
      <c r="AK42" s="46">
        <f t="shared" si="10"/>
        <v>0</v>
      </c>
      <c r="AL42" s="46">
        <f t="shared" si="3"/>
        <v>116.76666666666677</v>
      </c>
      <c r="AM42" s="208">
        <f t="shared" si="11"/>
        <v>1693.6000000000001</v>
      </c>
      <c r="AN42" s="46">
        <f>PROYECTADA!P42</f>
        <v>8.6804340000000071</v>
      </c>
      <c r="AO42" s="46">
        <f t="shared" si="12"/>
        <v>70.060000000000059</v>
      </c>
      <c r="AP42" s="45">
        <f>PROYECTADA!Q42</f>
        <v>7.8537260000000053</v>
      </c>
      <c r="AQ42" s="67">
        <f>PROYECTADA!R42</f>
        <v>7.5781566666666738</v>
      </c>
      <c r="AT42" s="1"/>
      <c r="AV42" s="1"/>
      <c r="AW42" s="1"/>
      <c r="AX42" s="2" t="str">
        <f t="shared" si="15"/>
        <v>ERROR</v>
      </c>
    </row>
    <row r="43" spans="1:50">
      <c r="A43" s="42">
        <v>37</v>
      </c>
      <c r="B43" s="83" t="s">
        <v>73</v>
      </c>
      <c r="C43" s="79" t="s">
        <v>49</v>
      </c>
      <c r="D43" s="202"/>
      <c r="E43" s="202"/>
      <c r="F43" s="315"/>
      <c r="G43" s="315"/>
      <c r="H43" s="315"/>
      <c r="I43" s="315"/>
      <c r="J43" s="315"/>
      <c r="K43" s="315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181">
        <f t="shared" si="14"/>
        <v>0</v>
      </c>
      <c r="W43" s="181">
        <f t="shared" si="0"/>
        <v>31</v>
      </c>
      <c r="X43" s="181">
        <f>'REPORTE DIARIO'!AI43</f>
        <v>216</v>
      </c>
      <c r="Y43" s="181">
        <f>PROYECTADA!G43</f>
        <v>0</v>
      </c>
      <c r="Z43" s="181">
        <f t="shared" si="6"/>
        <v>0</v>
      </c>
      <c r="AA43" s="181">
        <f>PROYECTADA!D43/$AP$1*PLAME!X43</f>
        <v>1167.6666666666677</v>
      </c>
      <c r="AB43" s="181">
        <f>PROYECTADA!F43/$AP$3*($AP$3-L43)</f>
        <v>0</v>
      </c>
      <c r="AC43" s="210">
        <f t="shared" si="7"/>
        <v>1167.6666666666677</v>
      </c>
      <c r="AD43" s="181">
        <f t="shared" si="13"/>
        <v>11.671996000000009</v>
      </c>
      <c r="AE43" s="181">
        <f t="shared" si="16"/>
        <v>339</v>
      </c>
      <c r="AF43" s="181">
        <f t="shared" si="8"/>
        <v>194.53326666666683</v>
      </c>
      <c r="AG43" s="181">
        <f t="shared" si="9"/>
        <v>113.49720000000011</v>
      </c>
      <c r="AH43" s="45">
        <f>IF(OR(D43="SI", C43="SNP"), 0, VLOOKUP(C43, tbl_descuentos[], 2, FALSE) * SUM(Y43:AB43))</f>
        <v>0</v>
      </c>
      <c r="AI43" s="46">
        <v>0</v>
      </c>
      <c r="AJ43" s="46">
        <f>IF(OR(D43="SI", C43="SNP"), 0, VLOOKUP(C43, tbl_descuentos[], IF(E43 &gt; 65, 4, 3), FALSE) * SUM(Y43:AB43))</f>
        <v>15.997033333333347</v>
      </c>
      <c r="AK43" s="46">
        <f t="shared" si="10"/>
        <v>0</v>
      </c>
      <c r="AL43" s="46">
        <f t="shared" si="3"/>
        <v>116.76666666666677</v>
      </c>
      <c r="AM43" s="208">
        <f t="shared" si="11"/>
        <v>1693.6000000000001</v>
      </c>
      <c r="AN43" s="46">
        <f>PROYECTADA!P43</f>
        <v>8.6804340000000071</v>
      </c>
      <c r="AO43" s="46">
        <f t="shared" si="12"/>
        <v>70.060000000000059</v>
      </c>
      <c r="AP43" s="45">
        <f>PROYECTADA!Q43</f>
        <v>7.8537260000000053</v>
      </c>
      <c r="AQ43" s="67">
        <f>PROYECTADA!R43</f>
        <v>7.5781566666666738</v>
      </c>
      <c r="AT43" s="1"/>
      <c r="AV43" s="1"/>
      <c r="AW43" s="1"/>
      <c r="AX43" s="2" t="str">
        <f t="shared" si="15"/>
        <v>ERROR</v>
      </c>
    </row>
    <row r="44" spans="1:50">
      <c r="A44" s="65">
        <v>38</v>
      </c>
      <c r="B44" s="83" t="s">
        <v>74</v>
      </c>
      <c r="C44" s="44" t="s">
        <v>30</v>
      </c>
      <c r="D44" s="202"/>
      <c r="E44" s="202"/>
      <c r="F44" s="315"/>
      <c r="G44" s="315"/>
      <c r="H44" s="315"/>
      <c r="I44" s="315"/>
      <c r="J44" s="315"/>
      <c r="K44" s="315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181">
        <f t="shared" si="14"/>
        <v>0</v>
      </c>
      <c r="W44" s="181">
        <f t="shared" si="0"/>
        <v>31</v>
      </c>
      <c r="X44" s="181">
        <f>'REPORTE DIARIO'!AI44</f>
        <v>216</v>
      </c>
      <c r="Y44" s="181">
        <f>PROYECTADA!G44</f>
        <v>0</v>
      </c>
      <c r="Z44" s="181">
        <f t="shared" si="6"/>
        <v>0</v>
      </c>
      <c r="AA44" s="181">
        <f>PROYECTADA!D44/$AP$1*PLAME!X44</f>
        <v>1167.6666666666677</v>
      </c>
      <c r="AB44" s="181">
        <f>PROYECTADA!F44/$AP$3*($AP$3-L44)</f>
        <v>0</v>
      </c>
      <c r="AC44" s="210">
        <f t="shared" si="7"/>
        <v>1167.6666666666677</v>
      </c>
      <c r="AD44" s="181">
        <f t="shared" si="13"/>
        <v>11.671996000000009</v>
      </c>
      <c r="AE44" s="181">
        <f t="shared" si="16"/>
        <v>339</v>
      </c>
      <c r="AF44" s="181">
        <f t="shared" si="8"/>
        <v>194.53326666666683</v>
      </c>
      <c r="AG44" s="181">
        <f t="shared" si="9"/>
        <v>113.49720000000011</v>
      </c>
      <c r="AH44" s="45">
        <f>IF(OR(D44="SI", C44="SNP"), 0, VLOOKUP(C44, tbl_descuentos[], 2, FALSE) * SUM(Y44:AB44))</f>
        <v>19.733566666666682</v>
      </c>
      <c r="AI44" s="46">
        <v>0</v>
      </c>
      <c r="AJ44" s="46">
        <f>IF(OR(D44="SI", C44="SNP"), 0, VLOOKUP(C44, tbl_descuentos[], IF(E44 &gt; 65, 4, 3), FALSE) * SUM(Y44:AB44))</f>
        <v>15.997033333333347</v>
      </c>
      <c r="AK44" s="46">
        <f t="shared" si="10"/>
        <v>0</v>
      </c>
      <c r="AL44" s="46">
        <f t="shared" si="3"/>
        <v>116.76666666666677</v>
      </c>
      <c r="AM44" s="208">
        <f t="shared" si="11"/>
        <v>1673.8700000000001</v>
      </c>
      <c r="AN44" s="46">
        <f>PROYECTADA!P44</f>
        <v>8.6804340000000071</v>
      </c>
      <c r="AO44" s="46">
        <f t="shared" si="12"/>
        <v>70.060000000000059</v>
      </c>
      <c r="AP44" s="45">
        <f>PROYECTADA!Q44</f>
        <v>7.8537260000000053</v>
      </c>
      <c r="AQ44" s="67">
        <f>PROYECTADA!R44</f>
        <v>7.5781566666666738</v>
      </c>
      <c r="AT44" s="1"/>
      <c r="AV44" s="1"/>
      <c r="AW44" s="1"/>
      <c r="AX44" s="2" t="str">
        <f t="shared" si="15"/>
        <v>ERROR</v>
      </c>
    </row>
    <row r="45" spans="1:50">
      <c r="A45" s="42">
        <v>39</v>
      </c>
      <c r="B45" s="83" t="s">
        <v>75</v>
      </c>
      <c r="C45" s="44" t="s">
        <v>30</v>
      </c>
      <c r="D45" s="202"/>
      <c r="E45" s="202"/>
      <c r="F45" s="315"/>
      <c r="G45" s="315"/>
      <c r="H45" s="315"/>
      <c r="I45" s="315"/>
      <c r="J45" s="315"/>
      <c r="K45" s="315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181">
        <f t="shared" si="14"/>
        <v>0</v>
      </c>
      <c r="W45" s="181">
        <f t="shared" si="0"/>
        <v>31</v>
      </c>
      <c r="X45" s="181">
        <f>'REPORTE DIARIO'!AI45</f>
        <v>207</v>
      </c>
      <c r="Y45" s="181">
        <f>PROYECTADA!G45</f>
        <v>0</v>
      </c>
      <c r="Z45" s="181">
        <f t="shared" si="6"/>
        <v>0</v>
      </c>
      <c r="AA45" s="181">
        <f>PROYECTADA!D45/$AP$1*PLAME!X45</f>
        <v>1119.0138888888898</v>
      </c>
      <c r="AB45" s="181">
        <f>PROYECTADA!F45/$AP$3*($AP$3-L45)</f>
        <v>0</v>
      </c>
      <c r="AC45" s="210">
        <f t="shared" si="7"/>
        <v>1119.0138888888898</v>
      </c>
      <c r="AD45" s="181">
        <f t="shared" si="13"/>
        <v>11.185662833333341</v>
      </c>
      <c r="AE45" s="181">
        <f t="shared" si="16"/>
        <v>339</v>
      </c>
      <c r="AF45" s="181">
        <f t="shared" si="8"/>
        <v>186.42771388888903</v>
      </c>
      <c r="AG45" s="181">
        <f t="shared" si="9"/>
        <v>108.76815000000011</v>
      </c>
      <c r="AH45" s="45">
        <f>IF(OR(D45="SI", C45="SNP"), 0, VLOOKUP(C45, tbl_descuentos[], 2, FALSE) * SUM(Y45:AB45))</f>
        <v>18.911334722222236</v>
      </c>
      <c r="AI45" s="46">
        <v>0</v>
      </c>
      <c r="AJ45" s="46">
        <f>IF(OR(D45="SI", C45="SNP"), 0, VLOOKUP(C45, tbl_descuentos[], IF(E45 &gt; 65, 4, 3), FALSE) * SUM(Y45:AB45))</f>
        <v>15.330490277777791</v>
      </c>
      <c r="AK45" s="46">
        <f t="shared" si="10"/>
        <v>0</v>
      </c>
      <c r="AL45" s="46">
        <f t="shared" si="3"/>
        <v>111.90138888888899</v>
      </c>
      <c r="AM45" s="208">
        <f t="shared" si="11"/>
        <v>1618.26</v>
      </c>
      <c r="AN45" s="46">
        <f>PROYECTADA!P45</f>
        <v>8.6804340000000071</v>
      </c>
      <c r="AO45" s="46">
        <f t="shared" si="12"/>
        <v>67.14083333333339</v>
      </c>
      <c r="AP45" s="45">
        <f>PROYECTADA!Q45</f>
        <v>7.8537260000000053</v>
      </c>
      <c r="AQ45" s="67">
        <f>PROYECTADA!R45</f>
        <v>7.5781566666666738</v>
      </c>
      <c r="AT45" s="1"/>
      <c r="AV45" s="1"/>
      <c r="AW45" s="1"/>
      <c r="AX45" s="2" t="str">
        <f t="shared" si="15"/>
        <v>ERROR</v>
      </c>
    </row>
    <row r="46" spans="1:50">
      <c r="A46" s="65">
        <v>40</v>
      </c>
      <c r="B46" s="83" t="s">
        <v>76</v>
      </c>
      <c r="C46" s="75" t="s">
        <v>40</v>
      </c>
      <c r="D46" s="202"/>
      <c r="E46" s="202"/>
      <c r="F46" s="315"/>
      <c r="G46" s="315"/>
      <c r="H46" s="315"/>
      <c r="I46" s="315"/>
      <c r="J46" s="315"/>
      <c r="K46" s="315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181">
        <f t="shared" si="14"/>
        <v>0</v>
      </c>
      <c r="W46" s="181">
        <f t="shared" si="0"/>
        <v>31</v>
      </c>
      <c r="X46" s="181">
        <f>'REPORTE DIARIO'!AI46</f>
        <v>216</v>
      </c>
      <c r="Y46" s="181">
        <f>PROYECTADA!G46</f>
        <v>0</v>
      </c>
      <c r="Z46" s="181">
        <f t="shared" si="6"/>
        <v>0</v>
      </c>
      <c r="AA46" s="181">
        <f>PROYECTADA!D46/$AP$1*PLAME!X46</f>
        <v>1167.6666666666677</v>
      </c>
      <c r="AB46" s="181">
        <f>PROYECTADA!F46/$AP$3*($AP$3-L46)</f>
        <v>113</v>
      </c>
      <c r="AC46" s="210">
        <f t="shared" si="7"/>
        <v>1280.6666666666677</v>
      </c>
      <c r="AD46" s="181">
        <f t="shared" si="13"/>
        <v>12.801544000000009</v>
      </c>
      <c r="AE46" s="181">
        <f t="shared" si="16"/>
        <v>339</v>
      </c>
      <c r="AF46" s="181">
        <f t="shared" si="8"/>
        <v>213.35906666666682</v>
      </c>
      <c r="AG46" s="181">
        <f t="shared" si="9"/>
        <v>124.4808000000001</v>
      </c>
      <c r="AH46" s="45">
        <f>IF(OR(D46="SI", C46="SNP"), 0, VLOOKUP(C46, tbl_descuentos[], 2, FALSE) * SUM(Y46:AB46))</f>
        <v>19.850333333333349</v>
      </c>
      <c r="AI46" s="46">
        <v>0</v>
      </c>
      <c r="AJ46" s="46">
        <f>IF(OR(D46="SI", C46="SNP"), 0, VLOOKUP(C46, tbl_descuentos[], IF(E46 &gt; 65, 4, 3), FALSE) * SUM(Y46:AB46))</f>
        <v>17.545133333333347</v>
      </c>
      <c r="AK46" s="46">
        <f t="shared" si="10"/>
        <v>0</v>
      </c>
      <c r="AL46" s="46">
        <f t="shared" si="3"/>
        <v>128.06666666666678</v>
      </c>
      <c r="AM46" s="208">
        <f t="shared" si="11"/>
        <v>1804.8400000000001</v>
      </c>
      <c r="AN46" s="46">
        <f>PROYECTADA!P46</f>
        <v>9.5204760000000075</v>
      </c>
      <c r="AO46" s="46">
        <f t="shared" si="12"/>
        <v>76.84000000000006</v>
      </c>
      <c r="AP46" s="45">
        <f>PROYECTADA!Q46</f>
        <v>8.6137640000000051</v>
      </c>
      <c r="AQ46" s="67">
        <f>PROYECTADA!R46</f>
        <v>8.3115266666666745</v>
      </c>
      <c r="AT46" s="1"/>
      <c r="AV46" s="1"/>
      <c r="AW46" s="1"/>
      <c r="AX46" s="2" t="str">
        <f t="shared" si="15"/>
        <v>ERROR</v>
      </c>
    </row>
    <row r="47" spans="1:50">
      <c r="A47" s="42">
        <v>41</v>
      </c>
      <c r="B47" s="92" t="s">
        <v>77</v>
      </c>
      <c r="C47" s="44" t="s">
        <v>30</v>
      </c>
      <c r="D47" s="202"/>
      <c r="E47" s="202">
        <v>66</v>
      </c>
      <c r="F47" s="315"/>
      <c r="G47" s="315"/>
      <c r="H47" s="315"/>
      <c r="I47" s="315"/>
      <c r="J47" s="315"/>
      <c r="K47" s="315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181">
        <f t="shared" si="14"/>
        <v>0</v>
      </c>
      <c r="W47" s="181">
        <f t="shared" si="0"/>
        <v>31</v>
      </c>
      <c r="X47" s="181">
        <f>'REPORTE DIARIO'!AI47</f>
        <v>216</v>
      </c>
      <c r="Y47" s="181">
        <f>PROYECTADA!G47</f>
        <v>0</v>
      </c>
      <c r="Z47" s="181">
        <f t="shared" si="6"/>
        <v>0</v>
      </c>
      <c r="AA47" s="181">
        <f>PROYECTADA!D47/$AP$1*PLAME!X47</f>
        <v>1167.6666666666677</v>
      </c>
      <c r="AB47" s="181">
        <f>PROYECTADA!F47/$AP$3*($AP$3-L47)</f>
        <v>0</v>
      </c>
      <c r="AC47" s="210">
        <f t="shared" si="7"/>
        <v>1167.6666666666677</v>
      </c>
      <c r="AD47" s="181">
        <f t="shared" si="13"/>
        <v>11.671996000000009</v>
      </c>
      <c r="AE47" s="181">
        <f t="shared" si="16"/>
        <v>339</v>
      </c>
      <c r="AF47" s="181">
        <f t="shared" si="8"/>
        <v>194.53326666666683</v>
      </c>
      <c r="AG47" s="181">
        <f t="shared" si="9"/>
        <v>113.49720000000011</v>
      </c>
      <c r="AH47" s="45">
        <f>IF(OR(D47="SI", C47="SNP"), 0, VLOOKUP(C47, tbl_descuentos[], 2, FALSE) * SUM(Y47:AB47))</f>
        <v>19.733566666666682</v>
      </c>
      <c r="AI47" s="46">
        <v>0</v>
      </c>
      <c r="AJ47" s="46">
        <f>IF(OR(D47="SI", C47="SNP"), 0, VLOOKUP(C47, tbl_descuentos[], IF(E47 &gt; 65, 4, 3), FALSE) * SUM(Y47:AB47))</f>
        <v>0</v>
      </c>
      <c r="AK47" s="46">
        <f t="shared" si="10"/>
        <v>0</v>
      </c>
      <c r="AL47" s="46">
        <f t="shared" si="3"/>
        <v>116.76666666666677</v>
      </c>
      <c r="AM47" s="208">
        <f t="shared" si="11"/>
        <v>1689.8700000000001</v>
      </c>
      <c r="AN47" s="46">
        <f>PROYECTADA!P47</f>
        <v>8.6804340000000071</v>
      </c>
      <c r="AO47" s="46">
        <f t="shared" si="12"/>
        <v>70.060000000000059</v>
      </c>
      <c r="AP47" s="45">
        <f>PROYECTADA!Q47</f>
        <v>7.8537260000000053</v>
      </c>
      <c r="AQ47" s="67">
        <f>PROYECTADA!R47</f>
        <v>7.5781566666666738</v>
      </c>
      <c r="AS47" s="2">
        <v>1689.8700000000001</v>
      </c>
      <c r="AT47" s="1">
        <v>8.6804340000000071</v>
      </c>
      <c r="AU47" s="2">
        <v>70.060000000000059</v>
      </c>
      <c r="AV47" s="1">
        <v>7.8537260000000053</v>
      </c>
      <c r="AW47" s="1">
        <v>7.5781566666666738</v>
      </c>
      <c r="AX47" s="2" t="str">
        <f t="shared" si="15"/>
        <v>OK</v>
      </c>
    </row>
    <row r="48" spans="1:50">
      <c r="A48" s="65">
        <v>42</v>
      </c>
      <c r="B48" s="92" t="s">
        <v>78</v>
      </c>
      <c r="C48" s="73" t="s">
        <v>38</v>
      </c>
      <c r="D48" s="202"/>
      <c r="E48" s="202"/>
      <c r="F48" s="315"/>
      <c r="G48" s="315"/>
      <c r="H48" s="315"/>
      <c r="I48" s="315"/>
      <c r="J48" s="315"/>
      <c r="K48" s="315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181">
        <f t="shared" si="14"/>
        <v>0</v>
      </c>
      <c r="W48" s="181">
        <f t="shared" si="0"/>
        <v>31</v>
      </c>
      <c r="X48" s="181">
        <f>'REPORTE DIARIO'!AI48</f>
        <v>216</v>
      </c>
      <c r="Y48" s="181">
        <f>PROYECTADA!G48</f>
        <v>0</v>
      </c>
      <c r="Z48" s="181">
        <f t="shared" si="6"/>
        <v>0</v>
      </c>
      <c r="AA48" s="181">
        <f>PROYECTADA!D48/$AP$1*PLAME!X48</f>
        <v>1167.6666666666677</v>
      </c>
      <c r="AB48" s="181">
        <f>PROYECTADA!F48/$AP$3*($AP$3-L48)</f>
        <v>113</v>
      </c>
      <c r="AC48" s="210">
        <f t="shared" si="7"/>
        <v>1280.6666666666677</v>
      </c>
      <c r="AD48" s="181">
        <f t="shared" si="13"/>
        <v>12.801544000000009</v>
      </c>
      <c r="AE48" s="181">
        <f t="shared" si="16"/>
        <v>339</v>
      </c>
      <c r="AF48" s="181">
        <f t="shared" si="8"/>
        <v>213.35906666666682</v>
      </c>
      <c r="AG48" s="181">
        <f t="shared" si="9"/>
        <v>124.4808000000001</v>
      </c>
      <c r="AH48" s="45">
        <f>IF(OR(D48="SI", C48="SNP"), 0, VLOOKUP(C48, tbl_descuentos[], 2, FALSE) * SUM(Y48:AB48))</f>
        <v>0</v>
      </c>
      <c r="AI48" s="46">
        <v>0</v>
      </c>
      <c r="AJ48" s="46">
        <f>IF(OR(D48="SI", C48="SNP"), 0, VLOOKUP(C48, tbl_descuentos[], IF(E48 &gt; 65, 4, 3), FALSE) * SUM(Y48:AB48))</f>
        <v>0</v>
      </c>
      <c r="AK48" s="46">
        <f t="shared" si="10"/>
        <v>166.48666666666679</v>
      </c>
      <c r="AL48" s="46">
        <f t="shared" si="3"/>
        <v>0</v>
      </c>
      <c r="AM48" s="208">
        <f t="shared" si="11"/>
        <v>1803.8200000000002</v>
      </c>
      <c r="AN48" s="46">
        <f>PROYECTADA!P48</f>
        <v>9.5204760000000075</v>
      </c>
      <c r="AO48" s="46">
        <f t="shared" si="12"/>
        <v>76.84000000000006</v>
      </c>
      <c r="AP48" s="45">
        <f>PROYECTADA!Q48</f>
        <v>8.6137640000000051</v>
      </c>
      <c r="AQ48" s="67">
        <f>PROYECTADA!R48</f>
        <v>8.3115266666666745</v>
      </c>
      <c r="AT48" s="1"/>
      <c r="AV48" s="1"/>
      <c r="AW48" s="1"/>
      <c r="AX48" s="2" t="str">
        <f t="shared" si="15"/>
        <v>ERROR</v>
      </c>
    </row>
    <row r="49" spans="1:50">
      <c r="A49" s="42">
        <v>43</v>
      </c>
      <c r="B49" s="92" t="s">
        <v>79</v>
      </c>
      <c r="C49" s="77" t="s">
        <v>43</v>
      </c>
      <c r="D49" s="202"/>
      <c r="E49" s="202"/>
      <c r="F49" s="315"/>
      <c r="G49" s="315"/>
      <c r="H49" s="315"/>
      <c r="I49" s="315"/>
      <c r="J49" s="315"/>
      <c r="K49" s="315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181">
        <f t="shared" si="14"/>
        <v>0</v>
      </c>
      <c r="W49" s="181">
        <f t="shared" si="0"/>
        <v>31</v>
      </c>
      <c r="X49" s="181">
        <f>'REPORTE DIARIO'!AI49</f>
        <v>216</v>
      </c>
      <c r="Y49" s="181">
        <f>PROYECTADA!G49</f>
        <v>0</v>
      </c>
      <c r="Z49" s="181">
        <f t="shared" si="6"/>
        <v>0</v>
      </c>
      <c r="AA49" s="181">
        <f>PROYECTADA!D49/$AP$1*PLAME!X49</f>
        <v>1167.6666666666677</v>
      </c>
      <c r="AB49" s="181">
        <f>PROYECTADA!F49/$AP$3*($AP$3-L49)</f>
        <v>113</v>
      </c>
      <c r="AC49" s="210">
        <f t="shared" si="7"/>
        <v>1280.6666666666677</v>
      </c>
      <c r="AD49" s="181">
        <f t="shared" si="13"/>
        <v>12.801544000000009</v>
      </c>
      <c r="AE49" s="181">
        <f t="shared" si="16"/>
        <v>339</v>
      </c>
      <c r="AF49" s="181">
        <f t="shared" si="8"/>
        <v>213.35906666666682</v>
      </c>
      <c r="AG49" s="181">
        <f t="shared" si="9"/>
        <v>124.4808000000001</v>
      </c>
      <c r="AH49" s="45">
        <f>IF(OR(D49="SI", C49="SNP"), 0, VLOOKUP(C49, tbl_descuentos[], 2, FALSE) * SUM(Y49:AB49))</f>
        <v>0</v>
      </c>
      <c r="AI49" s="46">
        <v>0</v>
      </c>
      <c r="AJ49" s="46">
        <f>IF(OR(D49="SI", C49="SNP"), 0, VLOOKUP(C49, tbl_descuentos[], IF(E49 &gt; 65, 4, 3), FALSE) * SUM(Y49:AB49))</f>
        <v>17.545133333333347</v>
      </c>
      <c r="AK49" s="46">
        <f t="shared" si="10"/>
        <v>0</v>
      </c>
      <c r="AL49" s="46">
        <f t="shared" si="3"/>
        <v>128.06666666666678</v>
      </c>
      <c r="AM49" s="208">
        <f t="shared" si="11"/>
        <v>1824.69</v>
      </c>
      <c r="AN49" s="46">
        <f>PROYECTADA!P49</f>
        <v>9.5204760000000075</v>
      </c>
      <c r="AO49" s="46">
        <f t="shared" si="12"/>
        <v>76.84000000000006</v>
      </c>
      <c r="AP49" s="45">
        <f>PROYECTADA!Q49</f>
        <v>8.6137640000000051</v>
      </c>
      <c r="AQ49" s="67">
        <f>PROYECTADA!R49</f>
        <v>8.3115266666666745</v>
      </c>
      <c r="AT49" s="1"/>
      <c r="AV49" s="1"/>
      <c r="AW49" s="1"/>
      <c r="AX49" s="2" t="str">
        <f t="shared" si="15"/>
        <v>ERROR</v>
      </c>
    </row>
    <row r="50" spans="1:50">
      <c r="A50" s="65">
        <v>44</v>
      </c>
      <c r="B50" s="83" t="s">
        <v>80</v>
      </c>
      <c r="C50" s="44" t="s">
        <v>30</v>
      </c>
      <c r="D50" s="202"/>
      <c r="E50" s="202"/>
      <c r="F50" s="315"/>
      <c r="G50" s="315"/>
      <c r="H50" s="315"/>
      <c r="I50" s="315"/>
      <c r="J50" s="315"/>
      <c r="K50" s="315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181">
        <f t="shared" si="14"/>
        <v>0</v>
      </c>
      <c r="W50" s="181">
        <f t="shared" si="0"/>
        <v>31</v>
      </c>
      <c r="X50" s="181">
        <f>'REPORTE DIARIO'!AI50</f>
        <v>216</v>
      </c>
      <c r="Y50" s="181">
        <f>PROYECTADA!G50</f>
        <v>0</v>
      </c>
      <c r="Z50" s="181">
        <f t="shared" si="6"/>
        <v>0</v>
      </c>
      <c r="AA50" s="181">
        <f>PROYECTADA!D50/$AP$1*PLAME!X50</f>
        <v>1167.6666666666677</v>
      </c>
      <c r="AB50" s="181">
        <f>PROYECTADA!F50/$AP$3*($AP$3-L50)</f>
        <v>113</v>
      </c>
      <c r="AC50" s="210">
        <f t="shared" si="7"/>
        <v>1280.6666666666677</v>
      </c>
      <c r="AD50" s="181">
        <f t="shared" si="13"/>
        <v>12.801544000000009</v>
      </c>
      <c r="AE50" s="181">
        <f t="shared" si="16"/>
        <v>339</v>
      </c>
      <c r="AF50" s="181">
        <f t="shared" si="8"/>
        <v>213.35906666666682</v>
      </c>
      <c r="AG50" s="181">
        <f t="shared" si="9"/>
        <v>124.4808000000001</v>
      </c>
      <c r="AH50" s="45">
        <f>IF(OR(D50="SI", C50="SNP"), 0, VLOOKUP(C50, tbl_descuentos[], 2, FALSE) * SUM(Y50:AB50))</f>
        <v>21.64326666666668</v>
      </c>
      <c r="AI50" s="46">
        <v>0</v>
      </c>
      <c r="AJ50" s="46">
        <f>IF(OR(D50="SI", C50="SNP"), 0, VLOOKUP(C50, tbl_descuentos[], IF(E50 &gt; 65, 4, 3), FALSE) * SUM(Y50:AB50))</f>
        <v>17.545133333333347</v>
      </c>
      <c r="AK50" s="46">
        <f t="shared" si="10"/>
        <v>0</v>
      </c>
      <c r="AL50" s="46">
        <f t="shared" si="3"/>
        <v>128.06666666666678</v>
      </c>
      <c r="AM50" s="208">
        <f t="shared" si="11"/>
        <v>1803.0500000000002</v>
      </c>
      <c r="AN50" s="46">
        <f>PROYECTADA!P50</f>
        <v>9.5204760000000075</v>
      </c>
      <c r="AO50" s="46">
        <f t="shared" si="12"/>
        <v>76.84000000000006</v>
      </c>
      <c r="AP50" s="45">
        <f>PROYECTADA!Q50</f>
        <v>8.6137640000000051</v>
      </c>
      <c r="AQ50" s="67">
        <f>PROYECTADA!R50</f>
        <v>8.3115266666666745</v>
      </c>
      <c r="AT50" s="1"/>
      <c r="AV50" s="1"/>
      <c r="AW50" s="1"/>
      <c r="AX50" s="2" t="str">
        <f t="shared" si="15"/>
        <v>ERROR</v>
      </c>
    </row>
    <row r="51" spans="1:50">
      <c r="A51" s="42">
        <v>45</v>
      </c>
      <c r="B51" s="93" t="s">
        <v>81</v>
      </c>
      <c r="C51" s="77" t="s">
        <v>43</v>
      </c>
      <c r="D51" s="202"/>
      <c r="E51" s="202"/>
      <c r="F51" s="315"/>
      <c r="G51" s="315"/>
      <c r="H51" s="315"/>
      <c r="I51" s="315"/>
      <c r="J51" s="315"/>
      <c r="K51" s="315"/>
      <c r="L51" s="316">
        <v>10</v>
      </c>
      <c r="M51" s="316"/>
      <c r="N51" s="316"/>
      <c r="O51" s="316"/>
      <c r="P51" s="316"/>
      <c r="Q51" s="316"/>
      <c r="R51" s="316"/>
      <c r="S51" s="316"/>
      <c r="T51" s="316"/>
      <c r="U51" s="316"/>
      <c r="V51" s="181">
        <f t="shared" si="14"/>
        <v>10</v>
      </c>
      <c r="W51" s="181">
        <f t="shared" si="0"/>
        <v>21</v>
      </c>
      <c r="X51" s="181">
        <f>'REPORTE DIARIO'!AI51</f>
        <v>153</v>
      </c>
      <c r="Y51" s="181">
        <f>PROYECTADA!G51</f>
        <v>103.58</v>
      </c>
      <c r="Z51" s="181">
        <f t="shared" si="6"/>
        <v>0</v>
      </c>
      <c r="AA51" s="181">
        <f>PROYECTADA!D51/$AP$1*PLAME!X51</f>
        <v>827.09722222222285</v>
      </c>
      <c r="AB51" s="181">
        <f>PROYECTADA!F51/$AP$3*($AP$3-L51)</f>
        <v>76.548387096774192</v>
      </c>
      <c r="AC51" s="210">
        <f t="shared" si="7"/>
        <v>903.645609318997</v>
      </c>
      <c r="AD51" s="181">
        <f t="shared" si="13"/>
        <v>9.0328415107526929</v>
      </c>
      <c r="AE51" s="181">
        <f t="shared" si="16"/>
        <v>229.64516129032259</v>
      </c>
      <c r="AF51" s="181">
        <f t="shared" si="8"/>
        <v>150.54735851254489</v>
      </c>
      <c r="AG51" s="181">
        <f t="shared" si="9"/>
        <v>87.83435322580651</v>
      </c>
      <c r="AH51" s="45">
        <f>IF(OR(D51="SI", C51="SNP"), 0, VLOOKUP(C51, tbl_descuentos[], 2, FALSE) * SUM(Y51:AB51))</f>
        <v>0</v>
      </c>
      <c r="AI51" s="46">
        <v>0</v>
      </c>
      <c r="AJ51" s="46">
        <f>IF(OR(D51="SI", C51="SNP"), 0, VLOOKUP(C51, tbl_descuentos[], IF(E51 &gt; 65, 4, 3), FALSE) * SUM(Y51:AB51))</f>
        <v>13.798990847670259</v>
      </c>
      <c r="AK51" s="46">
        <f t="shared" si="10"/>
        <v>0</v>
      </c>
      <c r="AL51" s="46">
        <f t="shared" si="3"/>
        <v>100.72256093189971</v>
      </c>
      <c r="AM51" s="208">
        <f t="shared" si="11"/>
        <v>1369.77</v>
      </c>
      <c r="AN51" s="46">
        <f>PROYECTADA!P51</f>
        <v>10.290489720000007</v>
      </c>
      <c r="AO51" s="46">
        <f t="shared" si="12"/>
        <v>60.433536559139817</v>
      </c>
      <c r="AP51" s="45">
        <f>PROYECTADA!Q51</f>
        <v>9.3104430800000042</v>
      </c>
      <c r="AQ51" s="67">
        <f>PROYECTADA!R51</f>
        <v>8.9837608666666728</v>
      </c>
      <c r="AS51" s="2">
        <v>1369.77</v>
      </c>
      <c r="AT51" s="1">
        <v>10.290489720000007</v>
      </c>
      <c r="AU51" s="2">
        <v>60.433536559139817</v>
      </c>
      <c r="AV51" s="1">
        <v>9.3104430800000042</v>
      </c>
      <c r="AW51" s="1">
        <v>8.9837608666666728</v>
      </c>
      <c r="AX51" s="2" t="str">
        <f t="shared" si="15"/>
        <v>OK</v>
      </c>
    </row>
    <row r="52" spans="1:50">
      <c r="A52" s="65">
        <v>46</v>
      </c>
      <c r="B52" s="83" t="s">
        <v>82</v>
      </c>
      <c r="C52" s="77" t="s">
        <v>43</v>
      </c>
      <c r="D52" s="202"/>
      <c r="E52" s="202"/>
      <c r="F52" s="315"/>
      <c r="G52" s="315"/>
      <c r="H52" s="315"/>
      <c r="I52" s="315"/>
      <c r="J52" s="315"/>
      <c r="K52" s="315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181">
        <f t="shared" si="14"/>
        <v>0</v>
      </c>
      <c r="W52" s="181">
        <f t="shared" si="0"/>
        <v>31</v>
      </c>
      <c r="X52" s="181">
        <f>'REPORTE DIARIO'!AI52</f>
        <v>108.5</v>
      </c>
      <c r="Y52" s="181">
        <f>PROYECTADA!G52</f>
        <v>0</v>
      </c>
      <c r="Z52" s="181">
        <f t="shared" si="6"/>
        <v>0</v>
      </c>
      <c r="AA52" s="181">
        <f>PROYECTADA!D52/$AP$1*PLAME!X52</f>
        <v>586.53626543209919</v>
      </c>
      <c r="AB52" s="181">
        <f>PROYECTADA!F52/$AP$3*($AP$3-L52)</f>
        <v>0</v>
      </c>
      <c r="AC52" s="210">
        <f t="shared" si="7"/>
        <v>586.53626543209919</v>
      </c>
      <c r="AD52" s="181">
        <f t="shared" si="13"/>
        <v>5.8630165092592632</v>
      </c>
      <c r="AE52" s="181">
        <f t="shared" si="16"/>
        <v>339</v>
      </c>
      <c r="AF52" s="181">
        <f t="shared" si="8"/>
        <v>97.716941820987728</v>
      </c>
      <c r="AG52" s="181">
        <f t="shared" si="9"/>
        <v>57.011325000000049</v>
      </c>
      <c r="AH52" s="45">
        <f>IF(OR(D52="SI", C52="SNP"), 0, VLOOKUP(C52, tbl_descuentos[], 2, FALSE) * SUM(Y52:AB52))</f>
        <v>0</v>
      </c>
      <c r="AI52" s="46">
        <v>0</v>
      </c>
      <c r="AJ52" s="46">
        <f>IF(OR(D52="SI", C52="SNP"), 0, VLOOKUP(C52, tbl_descuentos[], IF(E52 &gt; 65, 4, 3), FALSE) * SUM(Y52:AB52))</f>
        <v>8.0355468364197584</v>
      </c>
      <c r="AK52" s="46">
        <f t="shared" si="10"/>
        <v>0</v>
      </c>
      <c r="AL52" s="46">
        <f t="shared" si="3"/>
        <v>58.653626543209924</v>
      </c>
      <c r="AM52" s="208">
        <f t="shared" si="11"/>
        <v>1019.44</v>
      </c>
      <c r="AN52" s="46">
        <f>PROYECTADA!P52</f>
        <v>8.6804340000000071</v>
      </c>
      <c r="AO52" s="46">
        <f t="shared" si="12"/>
        <v>35.192175925925952</v>
      </c>
      <c r="AP52" s="45">
        <f>PROYECTADA!Q52</f>
        <v>7.8537260000000053</v>
      </c>
      <c r="AQ52" s="67">
        <f>PROYECTADA!R52</f>
        <v>7.5781566666666738</v>
      </c>
      <c r="AT52" s="1"/>
      <c r="AV52" s="1"/>
      <c r="AW52" s="1"/>
      <c r="AX52" s="2" t="str">
        <f t="shared" si="15"/>
        <v>ERROR</v>
      </c>
    </row>
    <row r="53" spans="1:50">
      <c r="A53" s="42">
        <v>47</v>
      </c>
      <c r="B53" s="93" t="s">
        <v>83</v>
      </c>
      <c r="C53" s="77" t="s">
        <v>43</v>
      </c>
      <c r="D53" s="202"/>
      <c r="E53" s="202"/>
      <c r="F53" s="315"/>
      <c r="G53" s="315"/>
      <c r="H53" s="315"/>
      <c r="I53" s="315"/>
      <c r="J53" s="315"/>
      <c r="K53" s="315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181">
        <f t="shared" si="14"/>
        <v>0</v>
      </c>
      <c r="W53" s="181">
        <f t="shared" si="0"/>
        <v>31</v>
      </c>
      <c r="X53" s="181">
        <f>'REPORTE DIARIO'!AI53</f>
        <v>195</v>
      </c>
      <c r="Y53" s="181">
        <f>PROYECTADA!G53</f>
        <v>94.16</v>
      </c>
      <c r="Z53" s="181">
        <f t="shared" si="6"/>
        <v>0</v>
      </c>
      <c r="AA53" s="181">
        <f>PROYECTADA!D53/$AP$1*PLAME!X53</f>
        <v>1054.1435185185194</v>
      </c>
      <c r="AB53" s="181">
        <f>PROYECTADA!F53/$AP$3*($AP$3-L53)</f>
        <v>0</v>
      </c>
      <c r="AC53" s="210">
        <f t="shared" si="7"/>
        <v>1054.1435185185194</v>
      </c>
      <c r="AD53" s="181">
        <f t="shared" si="13"/>
        <v>10.53721861111112</v>
      </c>
      <c r="AE53" s="181">
        <f t="shared" si="16"/>
        <v>339</v>
      </c>
      <c r="AF53" s="181">
        <f t="shared" si="8"/>
        <v>175.62031018518533</v>
      </c>
      <c r="AG53" s="181">
        <f t="shared" si="9"/>
        <v>102.4627500000001</v>
      </c>
      <c r="AH53" s="45">
        <f>IF(OR(D53="SI", C53="SNP"), 0, VLOOKUP(C53, tbl_descuentos[], 2, FALSE) * SUM(Y53:AB53))</f>
        <v>0</v>
      </c>
      <c r="AI53" s="46">
        <v>0</v>
      </c>
      <c r="AJ53" s="46">
        <f>IF(OR(D53="SI", C53="SNP"), 0, VLOOKUP(C53, tbl_descuentos[], IF(E53 &gt; 65, 4, 3), FALSE) * SUM(Y53:AB53))</f>
        <v>15.731758203703716</v>
      </c>
      <c r="AK53" s="46">
        <f t="shared" si="10"/>
        <v>0</v>
      </c>
      <c r="AL53" s="46">
        <f t="shared" si="3"/>
        <v>114.83035185185196</v>
      </c>
      <c r="AM53" s="208">
        <f t="shared" si="11"/>
        <v>1645.3600000000004</v>
      </c>
      <c r="AN53" s="46">
        <f>PROYECTADA!P53</f>
        <v>9.3804194400000078</v>
      </c>
      <c r="AO53" s="46">
        <f t="shared" si="12"/>
        <v>68.898211111111166</v>
      </c>
      <c r="AP53" s="45">
        <f>PROYECTADA!Q53</f>
        <v>8.4870461600000056</v>
      </c>
      <c r="AQ53" s="67">
        <f>PROYECTADA!R53</f>
        <v>8.189255066666675</v>
      </c>
      <c r="AT53" s="1"/>
      <c r="AV53" s="1"/>
      <c r="AW53" s="1"/>
      <c r="AX53" s="2" t="str">
        <f t="shared" si="15"/>
        <v>ERROR</v>
      </c>
    </row>
    <row r="54" spans="1:50">
      <c r="A54" s="65">
        <v>48</v>
      </c>
      <c r="B54" s="93" t="s">
        <v>84</v>
      </c>
      <c r="C54" s="77" t="s">
        <v>43</v>
      </c>
      <c r="D54" s="202"/>
      <c r="E54" s="202"/>
      <c r="F54" s="315"/>
      <c r="G54" s="315"/>
      <c r="H54" s="315"/>
      <c r="I54" s="315"/>
      <c r="J54" s="315"/>
      <c r="K54" s="315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181">
        <f t="shared" si="14"/>
        <v>0</v>
      </c>
      <c r="W54" s="181">
        <f t="shared" si="0"/>
        <v>31</v>
      </c>
      <c r="X54" s="181">
        <f>'REPORTE DIARIO'!AI54</f>
        <v>200</v>
      </c>
      <c r="Y54" s="181">
        <f>PROYECTADA!G54</f>
        <v>103.58</v>
      </c>
      <c r="Z54" s="181">
        <f t="shared" si="6"/>
        <v>0</v>
      </c>
      <c r="AA54" s="181">
        <f>PROYECTADA!D54/$AP$1*PLAME!X54</f>
        <v>1081.1728395061737</v>
      </c>
      <c r="AB54" s="181">
        <f>PROYECTADA!F54/$AP$3*($AP$3-L54)</f>
        <v>113</v>
      </c>
      <c r="AC54" s="210">
        <f t="shared" si="7"/>
        <v>1194.1728395061737</v>
      </c>
      <c r="AD54" s="181">
        <f t="shared" si="13"/>
        <v>11.936951703703711</v>
      </c>
      <c r="AE54" s="181">
        <f t="shared" si="16"/>
        <v>339</v>
      </c>
      <c r="AF54" s="181">
        <f t="shared" si="8"/>
        <v>198.94919506172852</v>
      </c>
      <c r="AG54" s="181">
        <f t="shared" si="9"/>
        <v>116.07360000000008</v>
      </c>
      <c r="AH54" s="45">
        <f>IF(OR(D54="SI", C54="SNP"), 0, VLOOKUP(C54, tbl_descuentos[], 2, FALSE) * SUM(Y54:AB54))</f>
        <v>0</v>
      </c>
      <c r="AI54" s="46">
        <v>0</v>
      </c>
      <c r="AJ54" s="46">
        <f>IF(OR(D54="SI", C54="SNP"), 0, VLOOKUP(C54, tbl_descuentos[], IF(E54 &gt; 65, 4, 3), FALSE) * SUM(Y54:AB54))</f>
        <v>17.779213901234577</v>
      </c>
      <c r="AK54" s="46">
        <f t="shared" si="10"/>
        <v>0</v>
      </c>
      <c r="AL54" s="46">
        <f t="shared" si="3"/>
        <v>129.77528395061736</v>
      </c>
      <c r="AM54" s="208">
        <f t="shared" si="11"/>
        <v>1816.15</v>
      </c>
      <c r="AN54" s="46">
        <f>PROYECTADA!P54</f>
        <v>10.290489720000007</v>
      </c>
      <c r="AO54" s="46">
        <f t="shared" si="12"/>
        <v>77.865170370370407</v>
      </c>
      <c r="AP54" s="45">
        <f>PROYECTADA!Q54</f>
        <v>9.3104430800000042</v>
      </c>
      <c r="AQ54" s="67">
        <f>PROYECTADA!R54</f>
        <v>8.9837608666666728</v>
      </c>
      <c r="AT54" s="1"/>
      <c r="AV54" s="1"/>
      <c r="AW54" s="1"/>
      <c r="AX54" s="2" t="str">
        <f t="shared" si="15"/>
        <v>ERROR</v>
      </c>
    </row>
    <row r="55" spans="1:50">
      <c r="A55" s="96"/>
      <c r="B55" s="97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9"/>
      <c r="AI55" s="100"/>
      <c r="AJ55" s="101"/>
      <c r="AK55" s="101"/>
      <c r="AL55" s="101"/>
      <c r="AM55" s="101"/>
      <c r="AN55" s="101"/>
      <c r="AO55" s="101"/>
      <c r="AP55" s="99"/>
      <c r="AQ55" s="103"/>
    </row>
    <row r="58" spans="1:50">
      <c r="AB58" s="10" t="s">
        <v>171</v>
      </c>
      <c r="AC58" s="10" t="s">
        <v>170</v>
      </c>
      <c r="AD58" s="10" t="s">
        <v>172</v>
      </c>
      <c r="AE58" s="10" t="s">
        <v>173</v>
      </c>
      <c r="AO58" s="3"/>
      <c r="AQ58" s="2"/>
    </row>
    <row r="59" spans="1:50" ht="14.4">
      <c r="AB59" s="205" t="s">
        <v>168</v>
      </c>
      <c r="AC59" s="204">
        <f>'DESCUENTO AFP'!B4</f>
        <v>1.47E-2</v>
      </c>
      <c r="AD59" s="204">
        <f>'DESCUENTO AFP'!D4</f>
        <v>1.37E-2</v>
      </c>
      <c r="AE59" s="204">
        <v>0</v>
      </c>
      <c r="AO59" s="3"/>
      <c r="AQ59" s="2"/>
    </row>
    <row r="60" spans="1:50" ht="14.4">
      <c r="AB60" s="205" t="s">
        <v>40</v>
      </c>
      <c r="AC60" s="204">
        <f>'DESCUENTO AFP'!B5</f>
        <v>1.55E-2</v>
      </c>
      <c r="AD60" s="204">
        <f>'DESCUENTO AFP'!D5</f>
        <v>1.37E-2</v>
      </c>
      <c r="AE60" s="204">
        <v>0</v>
      </c>
      <c r="AO60" s="3"/>
      <c r="AQ60" s="2"/>
    </row>
    <row r="61" spans="1:50" ht="14.4">
      <c r="AB61" s="205" t="s">
        <v>169</v>
      </c>
      <c r="AC61" s="204">
        <f>'DESCUENTO AFP'!B6</f>
        <v>1.6E-2</v>
      </c>
      <c r="AD61" s="204">
        <f>'DESCUENTO AFP'!D6</f>
        <v>1.37E-2</v>
      </c>
      <c r="AE61" s="204">
        <v>0</v>
      </c>
      <c r="AO61" s="3"/>
      <c r="AQ61" s="2"/>
    </row>
    <row r="62" spans="1:50" ht="14.4">
      <c r="AB62" s="205" t="s">
        <v>30</v>
      </c>
      <c r="AC62" s="204">
        <f>'DESCUENTO AFP'!B7</f>
        <v>1.6899999999999998E-2</v>
      </c>
      <c r="AD62" s="204">
        <f>'DESCUENTO AFP'!D7</f>
        <v>1.37E-2</v>
      </c>
      <c r="AE62" s="204">
        <v>0</v>
      </c>
      <c r="AO62" s="3"/>
      <c r="AQ62" s="2"/>
    </row>
    <row r="63" spans="1:50" ht="14.4">
      <c r="AB63" s="205" t="s">
        <v>38</v>
      </c>
      <c r="AC63" s="204">
        <v>0</v>
      </c>
      <c r="AD63" s="6"/>
      <c r="AE63" s="6"/>
      <c r="AO63" s="3"/>
      <c r="AQ63" s="2"/>
    </row>
    <row r="64" spans="1:50" ht="14.4">
      <c r="AB64" s="205" t="s">
        <v>34</v>
      </c>
      <c r="AC64" s="204">
        <v>0</v>
      </c>
      <c r="AD64" s="203">
        <f>'DESCUENTO AFP'!D4</f>
        <v>1.37E-2</v>
      </c>
      <c r="AE64" s="204">
        <v>0</v>
      </c>
      <c r="AO64" s="3"/>
      <c r="AQ64" s="2"/>
    </row>
    <row r="65" spans="28:43" ht="14.4">
      <c r="AB65" s="205" t="s">
        <v>43</v>
      </c>
      <c r="AC65" s="204">
        <v>0</v>
      </c>
      <c r="AD65" s="203">
        <f>'DESCUENTO AFP'!D5</f>
        <v>1.37E-2</v>
      </c>
      <c r="AE65" s="204">
        <v>0</v>
      </c>
      <c r="AO65" s="3"/>
      <c r="AQ65" s="2"/>
    </row>
    <row r="66" spans="28:43" ht="14.4">
      <c r="AB66" s="205" t="s">
        <v>49</v>
      </c>
      <c r="AC66" s="204">
        <v>0</v>
      </c>
      <c r="AD66" s="203">
        <f>'DESCUENTO AFP'!D6</f>
        <v>1.37E-2</v>
      </c>
      <c r="AE66" s="204">
        <v>0</v>
      </c>
      <c r="AO66" s="3"/>
      <c r="AQ66" s="2"/>
    </row>
    <row r="67" spans="28:43" ht="14.4">
      <c r="AB67" s="205" t="s">
        <v>36</v>
      </c>
      <c r="AC67" s="204">
        <v>0</v>
      </c>
      <c r="AD67" s="203">
        <f>'DESCUENTO AFP'!D7</f>
        <v>1.37E-2</v>
      </c>
      <c r="AE67" s="204">
        <v>0</v>
      </c>
      <c r="AO67" s="3"/>
      <c r="AQ67" s="2"/>
    </row>
  </sheetData>
  <mergeCells count="11">
    <mergeCell ref="D5:E5"/>
    <mergeCell ref="AN5:AQ5"/>
    <mergeCell ref="A4:AB4"/>
    <mergeCell ref="Y5:AG5"/>
    <mergeCell ref="A5:A6"/>
    <mergeCell ref="B5:B6"/>
    <mergeCell ref="C5:C6"/>
    <mergeCell ref="AH5:AL5"/>
    <mergeCell ref="AM5:AM6"/>
    <mergeCell ref="F5:M5"/>
    <mergeCell ref="N5:U5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16E-BB30-47EA-95DB-D0EDEF866C82}">
  <dimension ref="A2:AU123"/>
  <sheetViews>
    <sheetView topLeftCell="B1" workbookViewId="0">
      <pane xSplit="2" ySplit="6" topLeftCell="D7" activePane="bottomRight" state="frozen"/>
      <selection activeCell="B1" sqref="B1"/>
      <selection pane="topRight" activeCell="D1" sqref="D1"/>
      <selection pane="bottomLeft" activeCell="B7" sqref="B7"/>
      <selection pane="bottomRight" activeCell="D7" sqref="D7"/>
    </sheetView>
  </sheetViews>
  <sheetFormatPr baseColWidth="10" defaultColWidth="11.44140625" defaultRowHeight="13.8"/>
  <cols>
    <col min="1" max="1" width="4.33203125" style="10" hidden="1" customWidth="1"/>
    <col min="2" max="2" width="9.33203125" style="10" bestFit="1" customWidth="1"/>
    <col min="3" max="3" width="26.6640625" style="10" customWidth="1"/>
    <col min="4" max="4" width="11.5546875" style="10" customWidth="1"/>
    <col min="5" max="6" width="11.44140625" style="10"/>
    <col min="7" max="7" width="3.88671875" style="10" customWidth="1"/>
    <col min="8" max="8" width="12" style="10" customWidth="1"/>
    <col min="9" max="9" width="11.6640625" style="10" customWidth="1"/>
    <col min="10" max="10" width="12.33203125" style="10" customWidth="1"/>
    <col min="11" max="11" width="11.5546875" style="10" customWidth="1"/>
    <col min="12" max="12" width="11.6640625" style="10" customWidth="1"/>
    <col min="13" max="13" width="11.44140625" style="10"/>
    <col min="14" max="14" width="3.5546875" style="10" customWidth="1"/>
    <col min="15" max="15" width="11.6640625" style="10" customWidth="1"/>
    <col min="16" max="16" width="11.44140625" style="10"/>
    <col min="17" max="17" width="11.6640625" style="10" customWidth="1"/>
    <col min="18" max="18" width="12.6640625" style="10" customWidth="1"/>
    <col min="19" max="19" width="11.5546875" style="10" customWidth="1"/>
    <col min="20" max="20" width="11.44140625" style="10"/>
    <col min="21" max="21" width="3.33203125" style="10" customWidth="1"/>
    <col min="22" max="22" width="12.44140625" style="10" customWidth="1"/>
    <col min="23" max="23" width="12.5546875" style="10" customWidth="1"/>
    <col min="24" max="24" width="13.109375" style="10" customWidth="1"/>
    <col min="25" max="25" width="11.6640625" style="10" customWidth="1"/>
    <col min="26" max="26" width="11.44140625" style="10"/>
    <col min="27" max="27" width="12.109375" style="10" customWidth="1"/>
    <col min="28" max="28" width="3.88671875" style="10" customWidth="1"/>
    <col min="29" max="29" width="11.88671875" style="10" customWidth="1"/>
    <col min="30" max="30" width="11.5546875" style="10" customWidth="1"/>
    <col min="31" max="31" width="11.88671875" style="10" customWidth="1"/>
    <col min="32" max="32" width="12" style="10" customWidth="1"/>
    <col min="33" max="33" width="13.33203125" style="10" customWidth="1"/>
    <col min="34" max="34" width="12.5546875" style="10" customWidth="1"/>
    <col min="35" max="35" width="14.5546875" style="10" customWidth="1"/>
    <col min="36" max="36" width="8" style="176" hidden="1" customWidth="1"/>
    <col min="37" max="37" width="9.109375" style="176" hidden="1" customWidth="1"/>
    <col min="38" max="38" width="7.44140625" style="176" hidden="1" customWidth="1"/>
    <col min="39" max="39" width="3.109375" style="176" hidden="1" customWidth="1"/>
    <col min="40" max="42" width="10.6640625" style="176" hidden="1" customWidth="1"/>
    <col min="43" max="43" width="14.5546875" style="176" hidden="1" customWidth="1"/>
    <col min="44" max="44" width="10.6640625" style="176" hidden="1" customWidth="1"/>
    <col min="45" max="45" width="5.109375" style="176" hidden="1" customWidth="1"/>
    <col min="46" max="46" width="4.33203125" style="176" hidden="1" customWidth="1"/>
    <col min="47" max="47" width="11" style="176" hidden="1" customWidth="1"/>
    <col min="48" max="16384" width="11.44140625" style="10"/>
  </cols>
  <sheetData>
    <row r="2" spans="1:47" ht="12.9" customHeight="1">
      <c r="A2" s="255" t="s">
        <v>105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</row>
    <row r="3" spans="1:47" ht="12.9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N3" s="176">
        <v>125</v>
      </c>
    </row>
    <row r="4" spans="1:47" s="174" customFormat="1" ht="21.75" customHeight="1" thickBot="1">
      <c r="A4" s="260"/>
      <c r="C4" s="174" t="s">
        <v>106</v>
      </c>
      <c r="D4" s="174">
        <f t="shared" ref="D4:U4" si="0">COUNTIF(D7:D52,"&gt;7")</f>
        <v>46</v>
      </c>
      <c r="E4" s="174">
        <f t="shared" si="0"/>
        <v>44</v>
      </c>
      <c r="F4" s="174">
        <f t="shared" si="0"/>
        <v>6</v>
      </c>
      <c r="G4" s="174">
        <f t="shared" si="0"/>
        <v>0</v>
      </c>
      <c r="H4" s="174">
        <f t="shared" si="0"/>
        <v>45</v>
      </c>
      <c r="I4" s="174">
        <f t="shared" si="0"/>
        <v>44</v>
      </c>
      <c r="J4" s="174">
        <f t="shared" si="0"/>
        <v>42</v>
      </c>
      <c r="K4" s="174">
        <f t="shared" si="0"/>
        <v>42</v>
      </c>
      <c r="L4" s="174">
        <f t="shared" si="0"/>
        <v>43</v>
      </c>
      <c r="M4" s="174">
        <f t="shared" si="0"/>
        <v>5</v>
      </c>
      <c r="N4" s="174">
        <f t="shared" si="0"/>
        <v>0</v>
      </c>
      <c r="O4" s="174">
        <f t="shared" si="0"/>
        <v>44</v>
      </c>
      <c r="P4" s="174">
        <f t="shared" si="0"/>
        <v>44</v>
      </c>
      <c r="Q4" s="174">
        <f t="shared" si="0"/>
        <v>44</v>
      </c>
      <c r="R4" s="174">
        <f t="shared" si="0"/>
        <v>42</v>
      </c>
      <c r="S4" s="174">
        <f t="shared" si="0"/>
        <v>44</v>
      </c>
      <c r="T4" s="174">
        <f t="shared" si="0"/>
        <v>5</v>
      </c>
      <c r="U4" s="174">
        <f t="shared" si="0"/>
        <v>0</v>
      </c>
      <c r="V4" s="174">
        <f>COUNTIF(V7:V52,"&gt;=6")</f>
        <v>40</v>
      </c>
      <c r="W4" s="174">
        <f t="shared" ref="W4:AG4" si="1">COUNTIF(W7:W52,"&gt;7")</f>
        <v>43</v>
      </c>
      <c r="X4" s="174">
        <f t="shared" si="1"/>
        <v>42</v>
      </c>
      <c r="Y4" s="174">
        <f t="shared" si="1"/>
        <v>41</v>
      </c>
      <c r="Z4" s="174">
        <f t="shared" si="1"/>
        <v>42</v>
      </c>
      <c r="AA4" s="174">
        <f t="shared" si="1"/>
        <v>5</v>
      </c>
      <c r="AB4" s="174">
        <f t="shared" si="1"/>
        <v>0</v>
      </c>
      <c r="AC4" s="174">
        <f t="shared" si="1"/>
        <v>39</v>
      </c>
      <c r="AD4" s="174">
        <f t="shared" si="1"/>
        <v>42</v>
      </c>
      <c r="AE4" s="174">
        <f t="shared" si="1"/>
        <v>43</v>
      </c>
      <c r="AG4" s="174">
        <f t="shared" si="1"/>
        <v>42</v>
      </c>
      <c r="AI4" s="261">
        <f>MAX(AI7:AI54)</f>
        <v>216</v>
      </c>
      <c r="AJ4" s="262"/>
      <c r="AK4" s="175">
        <f>COUNTIF(AK7:AK52,"&gt;48")</f>
        <v>0</v>
      </c>
      <c r="AL4" s="175">
        <f>COUNTIF(AL7:AL52,"&gt;7")</f>
        <v>1</v>
      </c>
      <c r="AM4" s="262"/>
      <c r="AN4" s="262"/>
      <c r="AO4" s="262"/>
      <c r="AP4" s="262"/>
      <c r="AQ4" s="262"/>
      <c r="AR4" s="262"/>
      <c r="AS4" s="262"/>
      <c r="AT4" s="262"/>
      <c r="AU4" s="262"/>
    </row>
    <row r="5" spans="1:47" s="256" customFormat="1" ht="12.75" customHeight="1">
      <c r="A5" s="263" t="s">
        <v>6</v>
      </c>
      <c r="B5" s="264" t="s">
        <v>107</v>
      </c>
      <c r="C5" s="265" t="s">
        <v>7</v>
      </c>
      <c r="D5" s="266" t="s">
        <v>108</v>
      </c>
      <c r="E5" s="267" t="s">
        <v>109</v>
      </c>
      <c r="F5" s="267" t="s">
        <v>110</v>
      </c>
      <c r="G5" s="266" t="s">
        <v>111</v>
      </c>
      <c r="H5" s="267" t="s">
        <v>112</v>
      </c>
      <c r="I5" s="267" t="s">
        <v>113</v>
      </c>
      <c r="J5" s="267" t="s">
        <v>113</v>
      </c>
      <c r="K5" s="267" t="s">
        <v>108</v>
      </c>
      <c r="L5" s="267" t="s">
        <v>109</v>
      </c>
      <c r="M5" s="267" t="s">
        <v>110</v>
      </c>
      <c r="N5" s="266" t="s">
        <v>111</v>
      </c>
      <c r="O5" s="267" t="s">
        <v>112</v>
      </c>
      <c r="P5" s="267" t="s">
        <v>113</v>
      </c>
      <c r="Q5" s="267" t="s">
        <v>113</v>
      </c>
      <c r="R5" s="267" t="s">
        <v>108</v>
      </c>
      <c r="S5" s="267" t="s">
        <v>109</v>
      </c>
      <c r="T5" s="267" t="s">
        <v>110</v>
      </c>
      <c r="U5" s="266" t="s">
        <v>111</v>
      </c>
      <c r="V5" s="267" t="s">
        <v>112</v>
      </c>
      <c r="W5" s="267" t="s">
        <v>113</v>
      </c>
      <c r="X5" s="267" t="s">
        <v>113</v>
      </c>
      <c r="Y5" s="267" t="s">
        <v>108</v>
      </c>
      <c r="Z5" s="267" t="s">
        <v>109</v>
      </c>
      <c r="AA5" s="267" t="s">
        <v>110</v>
      </c>
      <c r="AB5" s="266" t="s">
        <v>111</v>
      </c>
      <c r="AC5" s="267" t="s">
        <v>112</v>
      </c>
      <c r="AD5" s="267" t="s">
        <v>113</v>
      </c>
      <c r="AE5" s="267" t="s">
        <v>113</v>
      </c>
      <c r="AF5" s="267" t="s">
        <v>108</v>
      </c>
      <c r="AG5" s="267" t="s">
        <v>109</v>
      </c>
      <c r="AH5" s="267" t="s">
        <v>110</v>
      </c>
      <c r="AI5" s="267" t="s">
        <v>111</v>
      </c>
    </row>
    <row r="6" spans="1:47" s="256" customFormat="1" ht="14.4" thickBot="1">
      <c r="A6" s="268"/>
      <c r="B6" s="264"/>
      <c r="C6" s="265"/>
      <c r="D6" s="266">
        <v>1</v>
      </c>
      <c r="E6" s="267">
        <v>2</v>
      </c>
      <c r="F6" s="267">
        <v>3</v>
      </c>
      <c r="G6" s="266">
        <v>4</v>
      </c>
      <c r="H6" s="267">
        <v>5</v>
      </c>
      <c r="I6" s="267">
        <v>6</v>
      </c>
      <c r="J6" s="267">
        <v>7</v>
      </c>
      <c r="K6" s="267">
        <v>8</v>
      </c>
      <c r="L6" s="267">
        <v>9</v>
      </c>
      <c r="M6" s="267">
        <v>10</v>
      </c>
      <c r="N6" s="266">
        <v>11</v>
      </c>
      <c r="O6" s="267">
        <v>12</v>
      </c>
      <c r="P6" s="267">
        <v>13</v>
      </c>
      <c r="Q6" s="267">
        <v>14</v>
      </c>
      <c r="R6" s="267">
        <v>15</v>
      </c>
      <c r="S6" s="267">
        <v>16</v>
      </c>
      <c r="T6" s="267">
        <v>17</v>
      </c>
      <c r="U6" s="266">
        <v>18</v>
      </c>
      <c r="V6" s="267">
        <v>19</v>
      </c>
      <c r="W6" s="267">
        <v>20</v>
      </c>
      <c r="X6" s="267">
        <v>21</v>
      </c>
      <c r="Y6" s="267">
        <v>22</v>
      </c>
      <c r="Z6" s="267">
        <v>23</v>
      </c>
      <c r="AA6" s="267">
        <v>24</v>
      </c>
      <c r="AB6" s="266">
        <v>25</v>
      </c>
      <c r="AC6" s="267">
        <v>26</v>
      </c>
      <c r="AD6" s="267">
        <v>27</v>
      </c>
      <c r="AE6" s="267">
        <v>28</v>
      </c>
      <c r="AF6" s="267">
        <v>29</v>
      </c>
      <c r="AG6" s="267">
        <v>30</v>
      </c>
      <c r="AH6" s="267">
        <v>31</v>
      </c>
      <c r="AI6" s="267" t="s">
        <v>114</v>
      </c>
      <c r="AL6" s="256" t="s">
        <v>115</v>
      </c>
    </row>
    <row r="7" spans="1:47" s="256" customFormat="1" ht="12.9" customHeight="1">
      <c r="A7" s="269">
        <v>1</v>
      </c>
      <c r="B7" s="270" t="s">
        <v>116</v>
      </c>
      <c r="C7" s="300" t="s">
        <v>29</v>
      </c>
      <c r="D7" s="271">
        <v>8</v>
      </c>
      <c r="E7" s="267">
        <v>9</v>
      </c>
      <c r="F7" s="267">
        <v>7</v>
      </c>
      <c r="G7" s="272"/>
      <c r="H7" s="267">
        <v>8</v>
      </c>
      <c r="I7" s="267">
        <v>8</v>
      </c>
      <c r="J7" s="267">
        <v>8</v>
      </c>
      <c r="K7" s="267">
        <v>9</v>
      </c>
      <c r="L7" s="267">
        <v>9</v>
      </c>
      <c r="M7" s="267">
        <v>6</v>
      </c>
      <c r="N7" s="272"/>
      <c r="O7" s="267">
        <v>8</v>
      </c>
      <c r="P7" s="267">
        <v>8</v>
      </c>
      <c r="Q7" s="267">
        <v>8</v>
      </c>
      <c r="R7" s="267">
        <v>9</v>
      </c>
      <c r="S7" s="267">
        <v>9</v>
      </c>
      <c r="T7" s="267">
        <v>6</v>
      </c>
      <c r="U7" s="272"/>
      <c r="V7" s="267">
        <v>8</v>
      </c>
      <c r="W7" s="267">
        <v>8</v>
      </c>
      <c r="X7" s="267">
        <v>8</v>
      </c>
      <c r="Y7" s="267">
        <v>9</v>
      </c>
      <c r="Z7" s="267">
        <v>9</v>
      </c>
      <c r="AA7" s="267">
        <v>6</v>
      </c>
      <c r="AB7" s="266"/>
      <c r="AC7" s="267">
        <v>8</v>
      </c>
      <c r="AD7" s="267">
        <v>8</v>
      </c>
      <c r="AE7" s="267">
        <v>8</v>
      </c>
      <c r="AF7" s="267">
        <v>9</v>
      </c>
      <c r="AG7" s="267">
        <v>9</v>
      </c>
      <c r="AH7" s="267">
        <v>6</v>
      </c>
      <c r="AI7" s="273">
        <f t="shared" ref="AI7:AI54" si="2">SUM(D7:AH7)</f>
        <v>216</v>
      </c>
      <c r="AJ7" s="176" t="str">
        <f t="shared" ref="AJ7:AJ50" si="3">IF(AI7=208,"A. Perfecta","Faltó")</f>
        <v>Faltó</v>
      </c>
      <c r="AK7" s="274">
        <f t="shared" ref="AK7:AK17" si="4">SUM(D7:D7)</f>
        <v>8</v>
      </c>
      <c r="AL7" s="176">
        <f t="shared" ref="AL7:AL29" si="5">COUNTIF(D7:AH7,"F")</f>
        <v>0</v>
      </c>
      <c r="AM7" s="176" t="str">
        <f t="shared" ref="AM7:AM29" si="6">IF(AND(COUNTIF(D7:U7,"F")&lt;14,COUNTIF(Q7:U7,"F")&lt;=3),"SI","NO CORRESPONDE")</f>
        <v>SI</v>
      </c>
      <c r="AN7" s="176">
        <f>2400+AN3</f>
        <v>2525</v>
      </c>
      <c r="AO7" s="176">
        <v>100</v>
      </c>
      <c r="AP7" s="176">
        <f>AN7+AO7</f>
        <v>2625</v>
      </c>
      <c r="AQ7" s="275">
        <f>AP7/27</f>
        <v>97.222222222222229</v>
      </c>
      <c r="AR7" s="176">
        <f>AQ7/8</f>
        <v>12.152777777777779</v>
      </c>
      <c r="AS7" s="276">
        <f>AR7*AI7</f>
        <v>2625</v>
      </c>
      <c r="AT7" s="176"/>
      <c r="AU7" s="176"/>
    </row>
    <row r="8" spans="1:47" s="256" customFormat="1" ht="12.9" customHeight="1">
      <c r="A8" s="277">
        <v>2</v>
      </c>
      <c r="B8" s="270" t="s">
        <v>117</v>
      </c>
      <c r="C8" s="300" t="s">
        <v>31</v>
      </c>
      <c r="D8" s="271">
        <v>8</v>
      </c>
      <c r="E8" s="267">
        <v>9</v>
      </c>
      <c r="F8" s="267">
        <v>7</v>
      </c>
      <c r="G8" s="272"/>
      <c r="H8" s="267">
        <v>8</v>
      </c>
      <c r="I8" s="267">
        <v>8</v>
      </c>
      <c r="J8" s="267">
        <v>8</v>
      </c>
      <c r="K8" s="267">
        <v>9</v>
      </c>
      <c r="L8" s="267">
        <v>9</v>
      </c>
      <c r="M8" s="267">
        <v>6</v>
      </c>
      <c r="N8" s="272"/>
      <c r="O8" s="267">
        <v>8</v>
      </c>
      <c r="P8" s="267">
        <v>8</v>
      </c>
      <c r="Q8" s="267">
        <v>8</v>
      </c>
      <c r="R8" s="267">
        <v>9</v>
      </c>
      <c r="S8" s="267">
        <v>9</v>
      </c>
      <c r="T8" s="267">
        <v>6</v>
      </c>
      <c r="U8" s="272"/>
      <c r="V8" s="278">
        <v>8</v>
      </c>
      <c r="W8" s="278">
        <v>8</v>
      </c>
      <c r="X8" s="267">
        <v>8</v>
      </c>
      <c r="Y8" s="267">
        <v>9</v>
      </c>
      <c r="Z8" s="267">
        <v>9</v>
      </c>
      <c r="AA8" s="267">
        <v>6</v>
      </c>
      <c r="AB8" s="266"/>
      <c r="AC8" s="267">
        <v>8</v>
      </c>
      <c r="AD8" s="267">
        <v>8</v>
      </c>
      <c r="AE8" s="267">
        <v>8</v>
      </c>
      <c r="AF8" s="267">
        <v>9</v>
      </c>
      <c r="AG8" s="267">
        <v>9</v>
      </c>
      <c r="AH8" s="267">
        <v>6</v>
      </c>
      <c r="AI8" s="273">
        <f t="shared" si="2"/>
        <v>216</v>
      </c>
      <c r="AJ8" s="176" t="str">
        <f t="shared" si="3"/>
        <v>Faltó</v>
      </c>
      <c r="AK8" s="274">
        <f t="shared" si="4"/>
        <v>8</v>
      </c>
      <c r="AL8" s="176">
        <f t="shared" si="5"/>
        <v>0</v>
      </c>
      <c r="AM8" s="176" t="str">
        <f t="shared" si="6"/>
        <v>SI</v>
      </c>
      <c r="AN8" s="176">
        <f>1875+$AN$3</f>
        <v>2000</v>
      </c>
      <c r="AO8" s="176"/>
      <c r="AP8" s="176">
        <f t="shared" ref="AP8:AP54" si="7">AN8+AO8</f>
        <v>2000</v>
      </c>
      <c r="AQ8" s="275">
        <f>AP8/27</f>
        <v>74.074074074074076</v>
      </c>
      <c r="AR8" s="176">
        <f>AQ8/8</f>
        <v>9.2592592592592595</v>
      </c>
      <c r="AS8" s="276">
        <f>AR8*AI8</f>
        <v>2000</v>
      </c>
      <c r="AT8" s="176"/>
      <c r="AU8" s="176"/>
    </row>
    <row r="9" spans="1:47" s="256" customFormat="1" ht="12.9" customHeight="1">
      <c r="A9" s="277">
        <v>3</v>
      </c>
      <c r="B9" s="270" t="s">
        <v>117</v>
      </c>
      <c r="C9" s="300" t="s">
        <v>32</v>
      </c>
      <c r="D9" s="271">
        <v>8</v>
      </c>
      <c r="E9" s="267">
        <v>9</v>
      </c>
      <c r="F9" s="267">
        <v>7</v>
      </c>
      <c r="G9" s="272"/>
      <c r="H9" s="267">
        <v>8</v>
      </c>
      <c r="I9" s="267">
        <v>8</v>
      </c>
      <c r="J9" s="267">
        <v>8</v>
      </c>
      <c r="K9" s="267">
        <v>9</v>
      </c>
      <c r="L9" s="267">
        <v>9</v>
      </c>
      <c r="M9" s="267">
        <v>6</v>
      </c>
      <c r="N9" s="272"/>
      <c r="O9" s="267">
        <v>8</v>
      </c>
      <c r="P9" s="267">
        <v>8</v>
      </c>
      <c r="Q9" s="267">
        <v>8</v>
      </c>
      <c r="R9" s="267">
        <v>9</v>
      </c>
      <c r="S9" s="267">
        <v>9</v>
      </c>
      <c r="T9" s="267">
        <v>6</v>
      </c>
      <c r="U9" s="272"/>
      <c r="V9" s="267">
        <v>8</v>
      </c>
      <c r="W9" s="267">
        <v>8</v>
      </c>
      <c r="X9" s="267">
        <v>8</v>
      </c>
      <c r="Y9" s="267">
        <v>9</v>
      </c>
      <c r="Z9" s="267">
        <v>9</v>
      </c>
      <c r="AA9" s="267">
        <v>6</v>
      </c>
      <c r="AB9" s="266"/>
      <c r="AC9" s="267">
        <v>8</v>
      </c>
      <c r="AD9" s="267">
        <v>8</v>
      </c>
      <c r="AE9" s="267">
        <v>8</v>
      </c>
      <c r="AF9" s="267">
        <v>9</v>
      </c>
      <c r="AG9" s="267">
        <v>9</v>
      </c>
      <c r="AH9" s="267">
        <v>6</v>
      </c>
      <c r="AI9" s="273">
        <f t="shared" si="2"/>
        <v>216</v>
      </c>
      <c r="AJ9" s="176" t="str">
        <f t="shared" si="3"/>
        <v>Faltó</v>
      </c>
      <c r="AK9" s="274">
        <f t="shared" si="4"/>
        <v>8</v>
      </c>
      <c r="AL9" s="176">
        <f t="shared" si="5"/>
        <v>0</v>
      </c>
      <c r="AM9" s="176" t="str">
        <f t="shared" si="6"/>
        <v>SI</v>
      </c>
      <c r="AN9" s="176">
        <f t="shared" ref="AN9:AN21" si="8">1875+$AN$3</f>
        <v>2000</v>
      </c>
      <c r="AO9" s="176">
        <v>100</v>
      </c>
      <c r="AP9" s="176">
        <f t="shared" si="7"/>
        <v>2100</v>
      </c>
      <c r="AQ9" s="275">
        <f>AP9/27</f>
        <v>77.777777777777771</v>
      </c>
      <c r="AR9" s="176">
        <f t="shared" ref="AR9:AR53" si="9">AQ9/8</f>
        <v>9.7222222222222214</v>
      </c>
      <c r="AS9" s="276">
        <f t="shared" ref="AS9:AS54" si="10">AR9*AI9</f>
        <v>2100</v>
      </c>
      <c r="AT9" s="176"/>
      <c r="AU9" s="176"/>
    </row>
    <row r="10" spans="1:47" s="256" customFormat="1" ht="12.9" customHeight="1">
      <c r="A10" s="277">
        <v>4</v>
      </c>
      <c r="B10" s="270" t="s">
        <v>117</v>
      </c>
      <c r="C10" s="300" t="s">
        <v>33</v>
      </c>
      <c r="D10" s="271">
        <v>8</v>
      </c>
      <c r="E10" s="267">
        <v>9</v>
      </c>
      <c r="F10" s="267">
        <v>7</v>
      </c>
      <c r="G10" s="272"/>
      <c r="H10" s="278">
        <v>8</v>
      </c>
      <c r="I10" s="278">
        <v>8</v>
      </c>
      <c r="J10" s="278">
        <v>8</v>
      </c>
      <c r="K10" s="267">
        <v>9</v>
      </c>
      <c r="L10" s="267">
        <v>9</v>
      </c>
      <c r="M10" s="267">
        <v>6</v>
      </c>
      <c r="N10" s="272"/>
      <c r="O10" s="267">
        <v>8</v>
      </c>
      <c r="P10" s="267">
        <v>8</v>
      </c>
      <c r="Q10" s="267">
        <v>8</v>
      </c>
      <c r="R10" s="267">
        <v>9</v>
      </c>
      <c r="S10" s="267">
        <v>9</v>
      </c>
      <c r="T10" s="267">
        <v>6</v>
      </c>
      <c r="U10" s="272"/>
      <c r="V10" s="267">
        <v>8</v>
      </c>
      <c r="W10" s="267">
        <v>8</v>
      </c>
      <c r="X10" s="267">
        <v>8</v>
      </c>
      <c r="Y10" s="267">
        <v>9</v>
      </c>
      <c r="Z10" s="267">
        <v>9</v>
      </c>
      <c r="AA10" s="267">
        <v>6</v>
      </c>
      <c r="AB10" s="266"/>
      <c r="AC10" s="279" t="s">
        <v>104</v>
      </c>
      <c r="AD10" s="267">
        <v>8</v>
      </c>
      <c r="AE10" s="267">
        <v>8</v>
      </c>
      <c r="AF10" s="267">
        <v>9</v>
      </c>
      <c r="AG10" s="267">
        <v>9</v>
      </c>
      <c r="AH10" s="267">
        <v>6</v>
      </c>
      <c r="AI10" s="273">
        <f t="shared" si="2"/>
        <v>208</v>
      </c>
      <c r="AJ10" s="176" t="str">
        <f t="shared" si="3"/>
        <v>A. Perfecta</v>
      </c>
      <c r="AK10" s="274">
        <f t="shared" si="4"/>
        <v>8</v>
      </c>
      <c r="AL10" s="176">
        <f t="shared" si="5"/>
        <v>1</v>
      </c>
      <c r="AM10" s="176" t="str">
        <f t="shared" si="6"/>
        <v>SI</v>
      </c>
      <c r="AN10" s="176">
        <f t="shared" si="8"/>
        <v>2000</v>
      </c>
      <c r="AO10" s="176">
        <v>100</v>
      </c>
      <c r="AP10" s="176">
        <f t="shared" si="7"/>
        <v>2100</v>
      </c>
      <c r="AQ10" s="275">
        <f t="shared" ref="AQ10:AQ54" si="11">AP10/27</f>
        <v>77.777777777777771</v>
      </c>
      <c r="AR10" s="176">
        <f t="shared" si="9"/>
        <v>9.7222222222222214</v>
      </c>
      <c r="AS10" s="276">
        <v>2100</v>
      </c>
      <c r="AT10" s="176"/>
      <c r="AU10" s="176"/>
    </row>
    <row r="11" spans="1:47" s="256" customFormat="1" ht="12.9" customHeight="1">
      <c r="A11" s="269">
        <v>5</v>
      </c>
      <c r="B11" s="270" t="s">
        <v>117</v>
      </c>
      <c r="C11" s="300" t="s">
        <v>35</v>
      </c>
      <c r="D11" s="271">
        <v>8</v>
      </c>
      <c r="E11" s="267">
        <v>9</v>
      </c>
      <c r="F11" s="267">
        <v>7</v>
      </c>
      <c r="G11" s="266"/>
      <c r="H11" s="267">
        <v>8</v>
      </c>
      <c r="I11" s="267">
        <v>8</v>
      </c>
      <c r="J11" s="280">
        <v>8</v>
      </c>
      <c r="K11" s="267">
        <v>9</v>
      </c>
      <c r="L11" s="267">
        <v>9</v>
      </c>
      <c r="M11" s="267">
        <v>6</v>
      </c>
      <c r="N11" s="272"/>
      <c r="O11" s="267">
        <v>8</v>
      </c>
      <c r="P11" s="267">
        <v>8</v>
      </c>
      <c r="Q11" s="280">
        <v>8</v>
      </c>
      <c r="R11" s="267">
        <v>9</v>
      </c>
      <c r="S11" s="267">
        <v>9</v>
      </c>
      <c r="T11" s="267">
        <v>6</v>
      </c>
      <c r="U11" s="272"/>
      <c r="V11" s="267">
        <v>8</v>
      </c>
      <c r="W11" s="267">
        <v>8</v>
      </c>
      <c r="X11" s="278">
        <v>8</v>
      </c>
      <c r="Y11" s="267">
        <v>9</v>
      </c>
      <c r="Z11" s="267">
        <v>9</v>
      </c>
      <c r="AA11" s="279" t="s">
        <v>104</v>
      </c>
      <c r="AB11" s="266"/>
      <c r="AC11" s="278">
        <v>8</v>
      </c>
      <c r="AD11" s="278">
        <v>8</v>
      </c>
      <c r="AE11" s="267">
        <v>8</v>
      </c>
      <c r="AF11" s="267">
        <v>9</v>
      </c>
      <c r="AG11" s="267">
        <v>9</v>
      </c>
      <c r="AH11" s="267">
        <v>6</v>
      </c>
      <c r="AI11" s="273">
        <f t="shared" si="2"/>
        <v>210</v>
      </c>
      <c r="AJ11" s="176" t="str">
        <f t="shared" si="3"/>
        <v>Faltó</v>
      </c>
      <c r="AK11" s="274">
        <f t="shared" si="4"/>
        <v>8</v>
      </c>
      <c r="AL11" s="176">
        <f t="shared" si="5"/>
        <v>1</v>
      </c>
      <c r="AM11" s="176" t="str">
        <f t="shared" si="6"/>
        <v>SI</v>
      </c>
      <c r="AN11" s="176">
        <f t="shared" si="8"/>
        <v>2000</v>
      </c>
      <c r="AO11" s="176"/>
      <c r="AP11" s="176">
        <f t="shared" si="7"/>
        <v>2000</v>
      </c>
      <c r="AQ11" s="275">
        <f t="shared" si="11"/>
        <v>74.074074074074076</v>
      </c>
      <c r="AR11" s="176">
        <f t="shared" si="9"/>
        <v>9.2592592592592595</v>
      </c>
      <c r="AS11" s="276">
        <f t="shared" si="10"/>
        <v>1944.4444444444446</v>
      </c>
      <c r="AT11" s="176"/>
      <c r="AU11" s="176"/>
    </row>
    <row r="12" spans="1:47" s="256" customFormat="1" ht="12" customHeight="1">
      <c r="A12" s="269">
        <v>6</v>
      </c>
      <c r="B12" s="270" t="s">
        <v>117</v>
      </c>
      <c r="C12" s="300" t="s">
        <v>37</v>
      </c>
      <c r="D12" s="271">
        <v>8</v>
      </c>
      <c r="E12" s="267">
        <v>9</v>
      </c>
      <c r="F12" s="267">
        <v>7</v>
      </c>
      <c r="G12" s="272"/>
      <c r="H12" s="278">
        <v>8</v>
      </c>
      <c r="I12" s="278">
        <v>8</v>
      </c>
      <c r="J12" s="278">
        <v>8</v>
      </c>
      <c r="K12" s="278">
        <v>9</v>
      </c>
      <c r="L12" s="267">
        <v>9</v>
      </c>
      <c r="M12" s="267">
        <v>6</v>
      </c>
      <c r="N12" s="272"/>
      <c r="O12" s="278">
        <v>8</v>
      </c>
      <c r="P12" s="278">
        <v>8</v>
      </c>
      <c r="Q12" s="278">
        <v>8</v>
      </c>
      <c r="R12" s="278">
        <v>9</v>
      </c>
      <c r="S12" s="278">
        <v>9</v>
      </c>
      <c r="T12" s="278">
        <v>6</v>
      </c>
      <c r="U12" s="272"/>
      <c r="V12" s="267">
        <v>8</v>
      </c>
      <c r="W12" s="267">
        <v>8</v>
      </c>
      <c r="X12" s="267">
        <v>8</v>
      </c>
      <c r="Y12" s="267">
        <v>9</v>
      </c>
      <c r="Z12" s="267">
        <v>9</v>
      </c>
      <c r="AA12" s="267">
        <v>6</v>
      </c>
      <c r="AB12" s="266"/>
      <c r="AC12" s="267">
        <v>8</v>
      </c>
      <c r="AD12" s="267">
        <v>8</v>
      </c>
      <c r="AE12" s="267">
        <v>8</v>
      </c>
      <c r="AF12" s="267">
        <v>9</v>
      </c>
      <c r="AG12" s="267">
        <v>9</v>
      </c>
      <c r="AH12" s="267">
        <v>6</v>
      </c>
      <c r="AI12" s="273">
        <f t="shared" si="2"/>
        <v>216</v>
      </c>
      <c r="AJ12" s="176" t="str">
        <f t="shared" si="3"/>
        <v>Faltó</v>
      </c>
      <c r="AK12" s="274">
        <f t="shared" si="4"/>
        <v>8</v>
      </c>
      <c r="AL12" s="176">
        <f t="shared" si="5"/>
        <v>0</v>
      </c>
      <c r="AM12" s="176" t="str">
        <f t="shared" si="6"/>
        <v>SI</v>
      </c>
      <c r="AN12" s="176">
        <f t="shared" si="8"/>
        <v>2000</v>
      </c>
      <c r="AO12" s="176"/>
      <c r="AP12" s="176">
        <f t="shared" si="7"/>
        <v>2000</v>
      </c>
      <c r="AQ12" s="275">
        <f t="shared" si="11"/>
        <v>74.074074074074076</v>
      </c>
      <c r="AR12" s="176">
        <f t="shared" si="9"/>
        <v>9.2592592592592595</v>
      </c>
      <c r="AS12" s="276">
        <f t="shared" si="10"/>
        <v>2000</v>
      </c>
      <c r="AT12" s="176"/>
      <c r="AU12" s="176"/>
    </row>
    <row r="13" spans="1:47" s="256" customFormat="1" ht="12.75" customHeight="1">
      <c r="A13" s="277">
        <v>7</v>
      </c>
      <c r="B13" s="270" t="s">
        <v>118</v>
      </c>
      <c r="C13" s="300" t="s">
        <v>39</v>
      </c>
      <c r="D13" s="271">
        <v>8</v>
      </c>
      <c r="E13" s="267">
        <v>9</v>
      </c>
      <c r="F13" s="267">
        <v>7</v>
      </c>
      <c r="G13" s="272"/>
      <c r="H13" s="267">
        <v>8</v>
      </c>
      <c r="I13" s="267">
        <v>8</v>
      </c>
      <c r="J13" s="267">
        <v>8</v>
      </c>
      <c r="K13" s="267">
        <v>9</v>
      </c>
      <c r="L13" s="267">
        <v>9</v>
      </c>
      <c r="M13" s="267">
        <v>6</v>
      </c>
      <c r="N13" s="272"/>
      <c r="O13" s="267">
        <v>8</v>
      </c>
      <c r="P13" s="267">
        <v>8</v>
      </c>
      <c r="Q13" s="267">
        <v>8</v>
      </c>
      <c r="R13" s="267">
        <v>9</v>
      </c>
      <c r="S13" s="267">
        <v>9</v>
      </c>
      <c r="T13" s="267">
        <v>6</v>
      </c>
      <c r="U13" s="272"/>
      <c r="V13" s="267">
        <v>8</v>
      </c>
      <c r="W13" s="267">
        <v>8</v>
      </c>
      <c r="X13" s="267">
        <v>8</v>
      </c>
      <c r="Y13" s="267">
        <v>8</v>
      </c>
      <c r="Z13" s="281"/>
      <c r="AA13" s="281"/>
      <c r="AB13" s="266"/>
      <c r="AC13" s="281"/>
      <c r="AD13" s="281"/>
      <c r="AE13" s="267">
        <v>8</v>
      </c>
      <c r="AF13" s="267">
        <v>9</v>
      </c>
      <c r="AG13" s="267">
        <v>9</v>
      </c>
      <c r="AH13" s="267">
        <v>6</v>
      </c>
      <c r="AI13" s="273">
        <f t="shared" si="2"/>
        <v>184</v>
      </c>
      <c r="AJ13" s="176" t="str">
        <f t="shared" si="3"/>
        <v>Faltó</v>
      </c>
      <c r="AK13" s="274">
        <f t="shared" si="4"/>
        <v>8</v>
      </c>
      <c r="AL13" s="176">
        <f t="shared" si="5"/>
        <v>0</v>
      </c>
      <c r="AM13" s="176" t="str">
        <f t="shared" si="6"/>
        <v>SI</v>
      </c>
      <c r="AN13" s="176">
        <f>2025+AN3</f>
        <v>2150</v>
      </c>
      <c r="AO13" s="176">
        <v>100</v>
      </c>
      <c r="AP13" s="176">
        <f t="shared" si="7"/>
        <v>2250</v>
      </c>
      <c r="AQ13" s="275">
        <f t="shared" si="11"/>
        <v>83.333333333333329</v>
      </c>
      <c r="AR13" s="176">
        <f t="shared" si="9"/>
        <v>10.416666666666666</v>
      </c>
      <c r="AS13" s="276">
        <f t="shared" si="10"/>
        <v>1916.6666666666665</v>
      </c>
      <c r="AT13" s="176"/>
      <c r="AU13" s="176"/>
    </row>
    <row r="14" spans="1:47" s="256" customFormat="1" ht="14.25" customHeight="1">
      <c r="A14" s="277">
        <v>8</v>
      </c>
      <c r="B14" s="270" t="s">
        <v>117</v>
      </c>
      <c r="C14" s="300" t="s">
        <v>41</v>
      </c>
      <c r="D14" s="271">
        <v>8</v>
      </c>
      <c r="E14" s="267">
        <v>9</v>
      </c>
      <c r="F14" s="267">
        <v>7</v>
      </c>
      <c r="G14" s="272"/>
      <c r="H14" s="267">
        <v>8</v>
      </c>
      <c r="I14" s="267">
        <v>8</v>
      </c>
      <c r="J14" s="267">
        <v>8</v>
      </c>
      <c r="K14" s="267">
        <v>9</v>
      </c>
      <c r="L14" s="267">
        <v>9</v>
      </c>
      <c r="M14" s="267">
        <v>6</v>
      </c>
      <c r="N14" s="272"/>
      <c r="O14" s="267">
        <v>8</v>
      </c>
      <c r="P14" s="267">
        <v>8</v>
      </c>
      <c r="Q14" s="267">
        <v>8</v>
      </c>
      <c r="R14" s="267">
        <v>9</v>
      </c>
      <c r="S14" s="267">
        <v>9</v>
      </c>
      <c r="T14" s="267">
        <v>6</v>
      </c>
      <c r="U14" s="272"/>
      <c r="V14" s="267">
        <v>8</v>
      </c>
      <c r="W14" s="267">
        <v>8</v>
      </c>
      <c r="X14" s="267">
        <v>8</v>
      </c>
      <c r="Y14" s="267">
        <v>9</v>
      </c>
      <c r="Z14" s="267">
        <v>9</v>
      </c>
      <c r="AA14" s="267">
        <v>6</v>
      </c>
      <c r="AB14" s="266"/>
      <c r="AC14" s="267">
        <v>8</v>
      </c>
      <c r="AD14" s="267">
        <v>8</v>
      </c>
      <c r="AE14" s="267">
        <v>8</v>
      </c>
      <c r="AF14" s="267">
        <v>9</v>
      </c>
      <c r="AG14" s="267">
        <v>9</v>
      </c>
      <c r="AH14" s="267">
        <v>6</v>
      </c>
      <c r="AI14" s="273">
        <f t="shared" si="2"/>
        <v>216</v>
      </c>
      <c r="AJ14" s="176" t="str">
        <f t="shared" si="3"/>
        <v>Faltó</v>
      </c>
      <c r="AK14" s="274">
        <f t="shared" si="4"/>
        <v>8</v>
      </c>
      <c r="AL14" s="176">
        <f t="shared" si="5"/>
        <v>0</v>
      </c>
      <c r="AM14" s="176" t="str">
        <f t="shared" si="6"/>
        <v>SI</v>
      </c>
      <c r="AN14" s="176">
        <f t="shared" si="8"/>
        <v>2000</v>
      </c>
      <c r="AO14" s="176"/>
      <c r="AP14" s="176">
        <f t="shared" si="7"/>
        <v>2000</v>
      </c>
      <c r="AQ14" s="275">
        <f t="shared" si="11"/>
        <v>74.074074074074076</v>
      </c>
      <c r="AR14" s="176">
        <f t="shared" si="9"/>
        <v>9.2592592592592595</v>
      </c>
      <c r="AS14" s="276">
        <f t="shared" si="10"/>
        <v>2000</v>
      </c>
      <c r="AT14" s="176"/>
      <c r="AU14" s="176"/>
    </row>
    <row r="15" spans="1:47" s="256" customFormat="1" ht="12.9" customHeight="1">
      <c r="A15" s="277">
        <v>9</v>
      </c>
      <c r="B15" s="270" t="s">
        <v>117</v>
      </c>
      <c r="C15" s="301" t="s">
        <v>42</v>
      </c>
      <c r="D15" s="271">
        <v>8</v>
      </c>
      <c r="E15" s="279" t="s">
        <v>104</v>
      </c>
      <c r="F15" s="267">
        <v>7</v>
      </c>
      <c r="G15" s="272"/>
      <c r="H15" s="267">
        <v>8</v>
      </c>
      <c r="I15" s="267">
        <v>8</v>
      </c>
      <c r="J15" s="279" t="s">
        <v>104</v>
      </c>
      <c r="K15" s="267">
        <v>9</v>
      </c>
      <c r="L15" s="267">
        <v>9</v>
      </c>
      <c r="M15" s="267">
        <v>6</v>
      </c>
      <c r="N15" s="266"/>
      <c r="O15" s="267">
        <v>8</v>
      </c>
      <c r="P15" s="267">
        <v>8</v>
      </c>
      <c r="Q15" s="267">
        <v>8</v>
      </c>
      <c r="R15" s="267">
        <v>9</v>
      </c>
      <c r="S15" s="267">
        <v>9</v>
      </c>
      <c r="T15" s="267">
        <v>6</v>
      </c>
      <c r="U15" s="266"/>
      <c r="V15" s="279" t="s">
        <v>104</v>
      </c>
      <c r="W15" s="267">
        <v>8</v>
      </c>
      <c r="X15" s="267">
        <v>8</v>
      </c>
      <c r="Y15" s="267">
        <v>9</v>
      </c>
      <c r="Z15" s="267">
        <v>9</v>
      </c>
      <c r="AA15" s="267">
        <v>6</v>
      </c>
      <c r="AB15" s="266"/>
      <c r="AC15" s="267">
        <v>8</v>
      </c>
      <c r="AD15" s="278">
        <v>8</v>
      </c>
      <c r="AE15" s="267">
        <v>8</v>
      </c>
      <c r="AF15" s="267">
        <v>9</v>
      </c>
      <c r="AG15" s="279" t="s">
        <v>104</v>
      </c>
      <c r="AH15" s="267">
        <v>6</v>
      </c>
      <c r="AI15" s="273">
        <f t="shared" si="2"/>
        <v>182</v>
      </c>
      <c r="AJ15" s="176" t="str">
        <f t="shared" si="3"/>
        <v>Faltó</v>
      </c>
      <c r="AK15" s="274">
        <f t="shared" si="4"/>
        <v>8</v>
      </c>
      <c r="AL15" s="176">
        <f t="shared" si="5"/>
        <v>4</v>
      </c>
      <c r="AM15" s="176" t="str">
        <f t="shared" si="6"/>
        <v>SI</v>
      </c>
      <c r="AN15" s="176">
        <f t="shared" si="8"/>
        <v>2000</v>
      </c>
      <c r="AO15" s="176"/>
      <c r="AP15" s="176">
        <f t="shared" si="7"/>
        <v>2000</v>
      </c>
      <c r="AQ15" s="275">
        <f t="shared" si="11"/>
        <v>74.074074074074076</v>
      </c>
      <c r="AR15" s="176">
        <f t="shared" si="9"/>
        <v>9.2592592592592595</v>
      </c>
      <c r="AS15" s="276">
        <v>1851.851851851852</v>
      </c>
      <c r="AT15" s="176"/>
      <c r="AU15" s="176"/>
    </row>
    <row r="16" spans="1:47" s="256" customFormat="1" ht="12.9" customHeight="1">
      <c r="A16" s="277">
        <v>10</v>
      </c>
      <c r="B16" s="270" t="s">
        <v>117</v>
      </c>
      <c r="C16" s="300" t="s">
        <v>44</v>
      </c>
      <c r="D16" s="271">
        <v>8</v>
      </c>
      <c r="E16" s="267">
        <v>9</v>
      </c>
      <c r="F16" s="267">
        <v>7</v>
      </c>
      <c r="G16" s="272"/>
      <c r="H16" s="267">
        <v>8</v>
      </c>
      <c r="I16" s="267">
        <v>8</v>
      </c>
      <c r="J16" s="267">
        <v>8</v>
      </c>
      <c r="K16" s="267">
        <v>9</v>
      </c>
      <c r="L16" s="278">
        <v>9</v>
      </c>
      <c r="M16" s="278">
        <v>6</v>
      </c>
      <c r="N16" s="272"/>
      <c r="O16" s="267">
        <v>8</v>
      </c>
      <c r="P16" s="267">
        <v>8</v>
      </c>
      <c r="Q16" s="267">
        <v>8</v>
      </c>
      <c r="R16" s="267">
        <v>9</v>
      </c>
      <c r="S16" s="267">
        <v>9</v>
      </c>
      <c r="T16" s="267">
        <v>6</v>
      </c>
      <c r="U16" s="272"/>
      <c r="V16" s="267">
        <v>8</v>
      </c>
      <c r="W16" s="267">
        <v>8</v>
      </c>
      <c r="X16" s="267">
        <v>8</v>
      </c>
      <c r="Y16" s="267">
        <v>9</v>
      </c>
      <c r="Z16" s="267">
        <v>9</v>
      </c>
      <c r="AA16" s="267">
        <v>6</v>
      </c>
      <c r="AB16" s="266"/>
      <c r="AC16" s="267">
        <v>8</v>
      </c>
      <c r="AD16" s="267">
        <v>8</v>
      </c>
      <c r="AE16" s="267">
        <v>8</v>
      </c>
      <c r="AF16" s="267">
        <v>9</v>
      </c>
      <c r="AG16" s="267">
        <v>9</v>
      </c>
      <c r="AH16" s="267">
        <v>6</v>
      </c>
      <c r="AI16" s="273">
        <f t="shared" si="2"/>
        <v>216</v>
      </c>
      <c r="AJ16" s="176" t="str">
        <f t="shared" si="3"/>
        <v>Faltó</v>
      </c>
      <c r="AK16" s="274">
        <f t="shared" si="4"/>
        <v>8</v>
      </c>
      <c r="AL16" s="176">
        <f t="shared" si="5"/>
        <v>0</v>
      </c>
      <c r="AM16" s="176" t="str">
        <f t="shared" si="6"/>
        <v>SI</v>
      </c>
      <c r="AN16" s="176">
        <f t="shared" si="8"/>
        <v>2000</v>
      </c>
      <c r="AO16" s="176"/>
      <c r="AP16" s="176">
        <f t="shared" si="7"/>
        <v>2000</v>
      </c>
      <c r="AQ16" s="275">
        <f t="shared" si="11"/>
        <v>74.074074074074076</v>
      </c>
      <c r="AR16" s="176">
        <f t="shared" si="9"/>
        <v>9.2592592592592595</v>
      </c>
      <c r="AS16" s="276">
        <v>1916.6666666666667</v>
      </c>
      <c r="AT16" s="176"/>
      <c r="AU16" s="176"/>
    </row>
    <row r="17" spans="1:47" s="256" customFormat="1" ht="12.9" customHeight="1">
      <c r="A17" s="269">
        <v>11</v>
      </c>
      <c r="B17" s="270" t="s">
        <v>117</v>
      </c>
      <c r="C17" s="300" t="s">
        <v>45</v>
      </c>
      <c r="D17" s="271">
        <v>8</v>
      </c>
      <c r="E17" s="267">
        <v>9</v>
      </c>
      <c r="F17" s="267">
        <v>7</v>
      </c>
      <c r="G17" s="272"/>
      <c r="H17" s="267">
        <v>8</v>
      </c>
      <c r="I17" s="267">
        <v>8</v>
      </c>
      <c r="J17" s="267">
        <v>8</v>
      </c>
      <c r="K17" s="267">
        <v>9</v>
      </c>
      <c r="L17" s="267">
        <v>9</v>
      </c>
      <c r="M17" s="267">
        <v>6</v>
      </c>
      <c r="N17" s="272"/>
      <c r="O17" s="267">
        <v>8</v>
      </c>
      <c r="P17" s="267">
        <v>8</v>
      </c>
      <c r="Q17" s="267">
        <v>8</v>
      </c>
      <c r="R17" s="267">
        <v>9</v>
      </c>
      <c r="S17" s="267">
        <v>9</v>
      </c>
      <c r="T17" s="267">
        <v>6</v>
      </c>
      <c r="U17" s="272"/>
      <c r="V17" s="279" t="s">
        <v>104</v>
      </c>
      <c r="W17" s="267">
        <v>8</v>
      </c>
      <c r="X17" s="267">
        <v>8</v>
      </c>
      <c r="Y17" s="267">
        <v>9</v>
      </c>
      <c r="Z17" s="267">
        <v>9</v>
      </c>
      <c r="AA17" s="267">
        <v>6</v>
      </c>
      <c r="AB17" s="266"/>
      <c r="AC17" s="267">
        <v>8</v>
      </c>
      <c r="AD17" s="267">
        <v>8</v>
      </c>
      <c r="AE17" s="267">
        <v>8</v>
      </c>
      <c r="AF17" s="267">
        <v>9</v>
      </c>
      <c r="AG17" s="267">
        <v>9</v>
      </c>
      <c r="AH17" s="267">
        <v>6</v>
      </c>
      <c r="AI17" s="273">
        <f t="shared" si="2"/>
        <v>208</v>
      </c>
      <c r="AJ17" s="176" t="str">
        <f t="shared" si="3"/>
        <v>A. Perfecta</v>
      </c>
      <c r="AK17" s="274">
        <f t="shared" si="4"/>
        <v>8</v>
      </c>
      <c r="AL17" s="176">
        <f t="shared" si="5"/>
        <v>1</v>
      </c>
      <c r="AM17" s="176" t="str">
        <f t="shared" si="6"/>
        <v>SI</v>
      </c>
      <c r="AN17" s="176">
        <f t="shared" si="8"/>
        <v>2000</v>
      </c>
      <c r="AO17" s="176">
        <v>100</v>
      </c>
      <c r="AP17" s="176">
        <f t="shared" si="7"/>
        <v>2100</v>
      </c>
      <c r="AQ17" s="275">
        <f t="shared" si="11"/>
        <v>77.777777777777771</v>
      </c>
      <c r="AR17" s="176">
        <f t="shared" si="9"/>
        <v>9.7222222222222214</v>
      </c>
      <c r="AS17" s="276">
        <f t="shared" si="10"/>
        <v>2022.2222222222222</v>
      </c>
      <c r="AT17" s="176"/>
      <c r="AU17" s="176"/>
    </row>
    <row r="18" spans="1:47" s="256" customFormat="1" ht="12.9" customHeight="1">
      <c r="A18" s="269">
        <v>12</v>
      </c>
      <c r="B18" s="270" t="s">
        <v>119</v>
      </c>
      <c r="C18" s="300" t="s">
        <v>46</v>
      </c>
      <c r="D18" s="271">
        <v>8</v>
      </c>
      <c r="E18" s="267">
        <v>9</v>
      </c>
      <c r="F18" s="267">
        <v>7</v>
      </c>
      <c r="G18" s="272"/>
      <c r="H18" s="267">
        <v>8</v>
      </c>
      <c r="I18" s="267">
        <v>8</v>
      </c>
      <c r="J18" s="267">
        <v>8</v>
      </c>
      <c r="K18" s="267">
        <v>9</v>
      </c>
      <c r="L18" s="267">
        <v>9</v>
      </c>
      <c r="M18" s="267">
        <v>6</v>
      </c>
      <c r="N18" s="272"/>
      <c r="O18" s="267">
        <v>8</v>
      </c>
      <c r="P18" s="267">
        <v>8</v>
      </c>
      <c r="Q18" s="267">
        <v>8</v>
      </c>
      <c r="R18" s="267">
        <v>9</v>
      </c>
      <c r="S18" s="267">
        <v>9</v>
      </c>
      <c r="T18" s="267">
        <v>6</v>
      </c>
      <c r="U18" s="272"/>
      <c r="V18" s="281"/>
      <c r="W18" s="281"/>
      <c r="X18" s="281"/>
      <c r="Y18" s="281"/>
      <c r="Z18" s="281"/>
      <c r="AA18" s="281"/>
      <c r="AB18" s="266"/>
      <c r="AC18" s="281"/>
      <c r="AD18" s="281"/>
      <c r="AE18" s="281"/>
      <c r="AF18" s="281"/>
      <c r="AG18" s="281"/>
      <c r="AH18" s="281"/>
      <c r="AI18" s="273">
        <f t="shared" si="2"/>
        <v>120</v>
      </c>
      <c r="AJ18" s="176"/>
      <c r="AK18" s="274"/>
      <c r="AL18" s="176">
        <f t="shared" si="5"/>
        <v>0</v>
      </c>
      <c r="AM18" s="176" t="str">
        <f t="shared" si="6"/>
        <v>SI</v>
      </c>
      <c r="AN18" s="176">
        <f t="shared" si="8"/>
        <v>2000</v>
      </c>
      <c r="AO18" s="176">
        <v>100</v>
      </c>
      <c r="AP18" s="176">
        <f t="shared" si="7"/>
        <v>2100</v>
      </c>
      <c r="AQ18" s="275">
        <f t="shared" si="11"/>
        <v>77.777777777777771</v>
      </c>
      <c r="AR18" s="176">
        <f t="shared" si="9"/>
        <v>9.7222222222222214</v>
      </c>
      <c r="AS18" s="276">
        <f t="shared" si="10"/>
        <v>1166.6666666666665</v>
      </c>
      <c r="AT18" s="176"/>
      <c r="AU18" s="176"/>
    </row>
    <row r="19" spans="1:47" s="256" customFormat="1" ht="12.9" customHeight="1">
      <c r="A19" s="277">
        <v>13</v>
      </c>
      <c r="B19" s="270" t="s">
        <v>117</v>
      </c>
      <c r="C19" s="301" t="s">
        <v>47</v>
      </c>
      <c r="D19" s="271">
        <v>8</v>
      </c>
      <c r="E19" s="267">
        <v>9</v>
      </c>
      <c r="F19" s="267">
        <v>7</v>
      </c>
      <c r="G19" s="272"/>
      <c r="H19" s="267">
        <v>8</v>
      </c>
      <c r="I19" s="267">
        <v>8</v>
      </c>
      <c r="J19" s="267">
        <v>8</v>
      </c>
      <c r="K19" s="267">
        <v>9</v>
      </c>
      <c r="L19" s="267">
        <v>9</v>
      </c>
      <c r="M19" s="267">
        <v>6</v>
      </c>
      <c r="N19" s="272"/>
      <c r="O19" s="267">
        <v>8</v>
      </c>
      <c r="P19" s="267">
        <v>8</v>
      </c>
      <c r="Q19" s="267">
        <v>8</v>
      </c>
      <c r="R19" s="267">
        <v>9</v>
      </c>
      <c r="S19" s="267">
        <v>9</v>
      </c>
      <c r="T19" s="267">
        <v>6</v>
      </c>
      <c r="U19" s="272"/>
      <c r="V19" s="267">
        <v>8</v>
      </c>
      <c r="W19" s="267">
        <v>8</v>
      </c>
      <c r="X19" s="267">
        <v>8</v>
      </c>
      <c r="Y19" s="267">
        <v>9</v>
      </c>
      <c r="Z19" s="267">
        <v>9</v>
      </c>
      <c r="AA19" s="267">
        <v>6</v>
      </c>
      <c r="AB19" s="266"/>
      <c r="AC19" s="267">
        <v>8</v>
      </c>
      <c r="AD19" s="267">
        <v>8</v>
      </c>
      <c r="AE19" s="278">
        <v>8</v>
      </c>
      <c r="AF19" s="267">
        <v>9</v>
      </c>
      <c r="AG19" s="267">
        <v>9</v>
      </c>
      <c r="AH19" s="267">
        <v>6</v>
      </c>
      <c r="AI19" s="273">
        <f t="shared" si="2"/>
        <v>216</v>
      </c>
      <c r="AJ19" s="176" t="str">
        <f t="shared" si="3"/>
        <v>Faltó</v>
      </c>
      <c r="AK19" s="274">
        <f>SUM(D19:D19)</f>
        <v>8</v>
      </c>
      <c r="AL19" s="176">
        <f t="shared" si="5"/>
        <v>0</v>
      </c>
      <c r="AM19" s="176" t="str">
        <f t="shared" si="6"/>
        <v>SI</v>
      </c>
      <c r="AN19" s="176">
        <f t="shared" si="8"/>
        <v>2000</v>
      </c>
      <c r="AO19" s="176"/>
      <c r="AP19" s="176">
        <f t="shared" si="7"/>
        <v>2000</v>
      </c>
      <c r="AQ19" s="275">
        <f t="shared" si="11"/>
        <v>74.074074074074076</v>
      </c>
      <c r="AR19" s="176">
        <f t="shared" si="9"/>
        <v>9.2592592592592595</v>
      </c>
      <c r="AS19" s="276">
        <f t="shared" si="10"/>
        <v>2000</v>
      </c>
      <c r="AT19" s="176"/>
      <c r="AU19" s="176"/>
    </row>
    <row r="20" spans="1:47" s="256" customFormat="1" ht="12.9" customHeight="1">
      <c r="A20" s="277">
        <v>14</v>
      </c>
      <c r="B20" s="270" t="s">
        <v>117</v>
      </c>
      <c r="C20" s="300" t="s">
        <v>48</v>
      </c>
      <c r="D20" s="271">
        <v>8</v>
      </c>
      <c r="E20" s="267">
        <v>9</v>
      </c>
      <c r="F20" s="267">
        <v>7</v>
      </c>
      <c r="G20" s="272"/>
      <c r="H20" s="267">
        <v>8</v>
      </c>
      <c r="I20" s="267">
        <v>8</v>
      </c>
      <c r="J20" s="267">
        <v>8</v>
      </c>
      <c r="K20" s="267">
        <v>9</v>
      </c>
      <c r="L20" s="267">
        <v>9</v>
      </c>
      <c r="M20" s="267">
        <v>6</v>
      </c>
      <c r="N20" s="272"/>
      <c r="O20" s="267">
        <v>8</v>
      </c>
      <c r="P20" s="267">
        <v>8</v>
      </c>
      <c r="Q20" s="267">
        <v>8</v>
      </c>
      <c r="R20" s="267">
        <v>9</v>
      </c>
      <c r="S20" s="267">
        <v>9</v>
      </c>
      <c r="T20" s="267">
        <v>6</v>
      </c>
      <c r="U20" s="272"/>
      <c r="V20" s="267">
        <v>8</v>
      </c>
      <c r="W20" s="267">
        <v>8</v>
      </c>
      <c r="X20" s="267">
        <v>8</v>
      </c>
      <c r="Y20" s="267">
        <v>9</v>
      </c>
      <c r="Z20" s="267">
        <v>9</v>
      </c>
      <c r="AA20" s="267">
        <v>6</v>
      </c>
      <c r="AB20" s="266"/>
      <c r="AC20" s="267">
        <v>8</v>
      </c>
      <c r="AD20" s="267">
        <v>8</v>
      </c>
      <c r="AE20" s="267">
        <v>8</v>
      </c>
      <c r="AF20" s="267">
        <v>9</v>
      </c>
      <c r="AG20" s="267">
        <v>9</v>
      </c>
      <c r="AH20" s="267">
        <v>6</v>
      </c>
      <c r="AI20" s="273">
        <f t="shared" si="2"/>
        <v>216</v>
      </c>
      <c r="AJ20" s="176" t="str">
        <f t="shared" si="3"/>
        <v>Faltó</v>
      </c>
      <c r="AK20" s="274">
        <f>SUM(D20:D20)</f>
        <v>8</v>
      </c>
      <c r="AL20" s="176">
        <f t="shared" si="5"/>
        <v>0</v>
      </c>
      <c r="AM20" s="176" t="str">
        <f t="shared" si="6"/>
        <v>SI</v>
      </c>
      <c r="AN20" s="176">
        <f t="shared" si="8"/>
        <v>2000</v>
      </c>
      <c r="AO20" s="176"/>
      <c r="AP20" s="176">
        <f t="shared" si="7"/>
        <v>2000</v>
      </c>
      <c r="AQ20" s="275">
        <f t="shared" si="11"/>
        <v>74.074074074074076</v>
      </c>
      <c r="AR20" s="176">
        <f t="shared" si="9"/>
        <v>9.2592592592592595</v>
      </c>
      <c r="AS20" s="276">
        <f t="shared" si="10"/>
        <v>2000</v>
      </c>
      <c r="AT20" s="176"/>
      <c r="AU20" s="176"/>
    </row>
    <row r="21" spans="1:47" s="256" customFormat="1" ht="12.9" customHeight="1">
      <c r="A21" s="277">
        <v>15</v>
      </c>
      <c r="B21" s="270" t="s">
        <v>117</v>
      </c>
      <c r="C21" s="300" t="s">
        <v>50</v>
      </c>
      <c r="D21" s="271">
        <v>8</v>
      </c>
      <c r="E21" s="267">
        <v>9</v>
      </c>
      <c r="F21" s="267">
        <v>7</v>
      </c>
      <c r="G21" s="272"/>
      <c r="H21" s="267">
        <v>8</v>
      </c>
      <c r="I21" s="267">
        <v>8</v>
      </c>
      <c r="J21" s="267">
        <v>8</v>
      </c>
      <c r="K21" s="278">
        <v>9</v>
      </c>
      <c r="L21" s="278">
        <v>9</v>
      </c>
      <c r="M21" s="280">
        <v>6</v>
      </c>
      <c r="N21" s="272"/>
      <c r="O21" s="267">
        <v>8</v>
      </c>
      <c r="P21" s="267">
        <v>8</v>
      </c>
      <c r="Q21" s="267">
        <v>8</v>
      </c>
      <c r="R21" s="267">
        <v>9</v>
      </c>
      <c r="S21" s="267">
        <v>9</v>
      </c>
      <c r="T21" s="267">
        <v>6</v>
      </c>
      <c r="U21" s="272"/>
      <c r="V21" s="267">
        <v>8</v>
      </c>
      <c r="W21" s="278">
        <v>8</v>
      </c>
      <c r="X21" s="267">
        <v>8</v>
      </c>
      <c r="Y21" s="267">
        <v>9</v>
      </c>
      <c r="Z21" s="267">
        <v>9</v>
      </c>
      <c r="AA21" s="267">
        <v>6</v>
      </c>
      <c r="AB21" s="266"/>
      <c r="AC21" s="267">
        <v>8</v>
      </c>
      <c r="AD21" s="267">
        <v>8</v>
      </c>
      <c r="AE21" s="267">
        <v>8</v>
      </c>
      <c r="AF21" s="267">
        <v>9</v>
      </c>
      <c r="AG21" s="267">
        <v>9</v>
      </c>
      <c r="AH21" s="267">
        <v>6</v>
      </c>
      <c r="AI21" s="273">
        <f t="shared" si="2"/>
        <v>216</v>
      </c>
      <c r="AJ21" s="176" t="str">
        <f t="shared" si="3"/>
        <v>Faltó</v>
      </c>
      <c r="AK21" s="274">
        <f>SUM(D21:D21)</f>
        <v>8</v>
      </c>
      <c r="AL21" s="176">
        <f t="shared" si="5"/>
        <v>0</v>
      </c>
      <c r="AM21" s="176" t="str">
        <f t="shared" si="6"/>
        <v>SI</v>
      </c>
      <c r="AN21" s="176">
        <f t="shared" si="8"/>
        <v>2000</v>
      </c>
      <c r="AO21" s="176">
        <v>100</v>
      </c>
      <c r="AP21" s="176">
        <f t="shared" si="7"/>
        <v>2100</v>
      </c>
      <c r="AQ21" s="275">
        <f t="shared" si="11"/>
        <v>77.777777777777771</v>
      </c>
      <c r="AR21" s="176">
        <f t="shared" si="9"/>
        <v>9.7222222222222214</v>
      </c>
      <c r="AS21" s="276">
        <f t="shared" si="10"/>
        <v>2100</v>
      </c>
      <c r="AT21" s="176"/>
      <c r="AU21" s="176"/>
    </row>
    <row r="22" spans="1:47" s="256" customFormat="1" ht="12.9" customHeight="1">
      <c r="A22" s="277">
        <v>16</v>
      </c>
      <c r="B22" s="270" t="s">
        <v>117</v>
      </c>
      <c r="C22" s="301" t="s">
        <v>51</v>
      </c>
      <c r="D22" s="271">
        <v>8</v>
      </c>
      <c r="E22" s="267">
        <v>9</v>
      </c>
      <c r="F22" s="267">
        <v>7</v>
      </c>
      <c r="G22" s="272"/>
      <c r="H22" s="267">
        <v>8</v>
      </c>
      <c r="I22" s="267">
        <v>8</v>
      </c>
      <c r="J22" s="280">
        <v>4</v>
      </c>
      <c r="K22" s="267">
        <v>9</v>
      </c>
      <c r="L22" s="267">
        <v>9</v>
      </c>
      <c r="M22" s="267">
        <v>6</v>
      </c>
      <c r="N22" s="272"/>
      <c r="O22" s="267">
        <v>8</v>
      </c>
      <c r="P22" s="267">
        <v>8</v>
      </c>
      <c r="Q22" s="267">
        <v>8</v>
      </c>
      <c r="R22" s="279" t="s">
        <v>104</v>
      </c>
      <c r="S22" s="267">
        <v>9</v>
      </c>
      <c r="T22" s="267">
        <v>6</v>
      </c>
      <c r="U22" s="282"/>
      <c r="V22" s="279" t="s">
        <v>104</v>
      </c>
      <c r="W22" s="267">
        <v>8</v>
      </c>
      <c r="X22" s="267">
        <v>8</v>
      </c>
      <c r="Y22" s="267">
        <v>9</v>
      </c>
      <c r="Z22" s="267">
        <v>9</v>
      </c>
      <c r="AA22" s="279" t="s">
        <v>104</v>
      </c>
      <c r="AB22" s="266"/>
      <c r="AC22" s="267">
        <v>8</v>
      </c>
      <c r="AD22" s="267">
        <v>8</v>
      </c>
      <c r="AE22" s="267">
        <v>8</v>
      </c>
      <c r="AF22" s="267">
        <v>9</v>
      </c>
      <c r="AG22" s="267">
        <v>9</v>
      </c>
      <c r="AH22" s="267">
        <v>6</v>
      </c>
      <c r="AI22" s="273">
        <f t="shared" si="2"/>
        <v>189</v>
      </c>
      <c r="AJ22" s="176" t="str">
        <f t="shared" si="3"/>
        <v>Faltó</v>
      </c>
      <c r="AK22" s="274">
        <f>SUM(D22:D22)</f>
        <v>8</v>
      </c>
      <c r="AL22" s="176">
        <f t="shared" si="5"/>
        <v>3</v>
      </c>
      <c r="AM22" s="176" t="str">
        <f t="shared" si="6"/>
        <v>SI</v>
      </c>
      <c r="AN22" s="176">
        <f>2023+$AN$3</f>
        <v>2148</v>
      </c>
      <c r="AO22" s="176"/>
      <c r="AP22" s="176">
        <f t="shared" si="7"/>
        <v>2148</v>
      </c>
      <c r="AQ22" s="275">
        <f t="shared" si="11"/>
        <v>79.555555555555557</v>
      </c>
      <c r="AR22" s="176">
        <f t="shared" si="9"/>
        <v>9.9444444444444446</v>
      </c>
      <c r="AS22" s="276">
        <f t="shared" si="10"/>
        <v>1879.5</v>
      </c>
      <c r="AT22" s="176"/>
      <c r="AU22" s="176"/>
    </row>
    <row r="23" spans="1:47" s="256" customFormat="1" ht="12.9" customHeight="1">
      <c r="A23" s="269">
        <v>17</v>
      </c>
      <c r="B23" s="270" t="s">
        <v>117</v>
      </c>
      <c r="C23" s="301" t="s">
        <v>52</v>
      </c>
      <c r="D23" s="278">
        <v>8</v>
      </c>
      <c r="E23" s="278">
        <v>9</v>
      </c>
      <c r="F23" s="278">
        <v>7</v>
      </c>
      <c r="G23" s="272"/>
      <c r="H23" s="278">
        <v>8</v>
      </c>
      <c r="I23" s="278">
        <v>8</v>
      </c>
      <c r="J23" s="278">
        <v>8</v>
      </c>
      <c r="K23" s="278">
        <v>9</v>
      </c>
      <c r="L23" s="278">
        <v>9</v>
      </c>
      <c r="M23" s="278">
        <v>6</v>
      </c>
      <c r="N23" s="272"/>
      <c r="O23" s="278">
        <v>8</v>
      </c>
      <c r="P23" s="278">
        <v>8</v>
      </c>
      <c r="Q23" s="278">
        <v>8</v>
      </c>
      <c r="R23" s="278">
        <v>9</v>
      </c>
      <c r="S23" s="278">
        <v>9</v>
      </c>
      <c r="T23" s="278">
        <v>6</v>
      </c>
      <c r="U23" s="266"/>
      <c r="V23" s="278">
        <v>8</v>
      </c>
      <c r="W23" s="278">
        <v>8</v>
      </c>
      <c r="X23" s="278">
        <v>8</v>
      </c>
      <c r="Y23" s="278">
        <v>9</v>
      </c>
      <c r="Z23" s="278">
        <v>9</v>
      </c>
      <c r="AA23" s="278">
        <v>6</v>
      </c>
      <c r="AB23" s="266"/>
      <c r="AC23" s="278">
        <v>8</v>
      </c>
      <c r="AD23" s="278">
        <v>8</v>
      </c>
      <c r="AE23" s="278">
        <v>8</v>
      </c>
      <c r="AF23" s="278">
        <v>9</v>
      </c>
      <c r="AG23" s="278">
        <v>9</v>
      </c>
      <c r="AH23" s="278">
        <v>6</v>
      </c>
      <c r="AI23" s="273">
        <f t="shared" si="2"/>
        <v>216</v>
      </c>
      <c r="AJ23" s="176" t="str">
        <f t="shared" si="3"/>
        <v>Faltó</v>
      </c>
      <c r="AK23" s="274"/>
      <c r="AL23" s="176">
        <f t="shared" si="5"/>
        <v>0</v>
      </c>
      <c r="AM23" s="176" t="str">
        <f t="shared" si="6"/>
        <v>SI</v>
      </c>
      <c r="AN23" s="176">
        <f>2023+$AN$3</f>
        <v>2148</v>
      </c>
      <c r="AO23" s="176"/>
      <c r="AP23" s="176">
        <f t="shared" si="7"/>
        <v>2148</v>
      </c>
      <c r="AQ23" s="275">
        <f t="shared" si="11"/>
        <v>79.555555555555557</v>
      </c>
      <c r="AR23" s="176">
        <f t="shared" si="9"/>
        <v>9.9444444444444446</v>
      </c>
      <c r="AS23" s="276">
        <f t="shared" si="10"/>
        <v>2148</v>
      </c>
      <c r="AT23" s="176"/>
      <c r="AU23" s="176"/>
    </row>
    <row r="24" spans="1:47" s="256" customFormat="1" ht="12.9" customHeight="1">
      <c r="A24" s="269">
        <v>18</v>
      </c>
      <c r="B24" s="283" t="s">
        <v>117</v>
      </c>
      <c r="C24" s="301" t="s">
        <v>53</v>
      </c>
      <c r="D24" s="271">
        <v>8</v>
      </c>
      <c r="E24" s="267">
        <v>9</v>
      </c>
      <c r="F24" s="267">
        <v>7</v>
      </c>
      <c r="G24" s="272"/>
      <c r="H24" s="267">
        <v>8</v>
      </c>
      <c r="I24" s="267">
        <v>8</v>
      </c>
      <c r="J24" s="267">
        <v>8</v>
      </c>
      <c r="K24" s="267">
        <v>9</v>
      </c>
      <c r="L24" s="267">
        <v>9</v>
      </c>
      <c r="M24" s="267">
        <v>6</v>
      </c>
      <c r="N24" s="272"/>
      <c r="O24" s="267">
        <v>8</v>
      </c>
      <c r="P24" s="267">
        <v>8</v>
      </c>
      <c r="Q24" s="267">
        <v>8</v>
      </c>
      <c r="R24" s="267">
        <v>9</v>
      </c>
      <c r="S24" s="267">
        <v>9</v>
      </c>
      <c r="T24" s="267">
        <v>6</v>
      </c>
      <c r="U24" s="272"/>
      <c r="V24" s="267">
        <v>8</v>
      </c>
      <c r="W24" s="267">
        <v>8</v>
      </c>
      <c r="X24" s="267">
        <v>8</v>
      </c>
      <c r="Y24" s="267">
        <v>9</v>
      </c>
      <c r="Z24" s="267">
        <v>9</v>
      </c>
      <c r="AA24" s="267">
        <v>6</v>
      </c>
      <c r="AB24" s="266"/>
      <c r="AC24" s="267">
        <v>8</v>
      </c>
      <c r="AD24" s="267">
        <v>8</v>
      </c>
      <c r="AE24" s="267">
        <v>8</v>
      </c>
      <c r="AF24" s="267">
        <v>9</v>
      </c>
      <c r="AG24" s="267">
        <v>9</v>
      </c>
      <c r="AH24" s="267">
        <v>6</v>
      </c>
      <c r="AI24" s="273">
        <f t="shared" si="2"/>
        <v>216</v>
      </c>
      <c r="AJ24" s="176" t="str">
        <f t="shared" si="3"/>
        <v>Faltó</v>
      </c>
      <c r="AK24" s="274">
        <f>SUM(D24:D24)</f>
        <v>8</v>
      </c>
      <c r="AL24" s="176">
        <f t="shared" si="5"/>
        <v>0</v>
      </c>
      <c r="AM24" s="176" t="str">
        <f t="shared" si="6"/>
        <v>SI</v>
      </c>
      <c r="AN24" s="176">
        <f>2023+$AN$3</f>
        <v>2148</v>
      </c>
      <c r="AO24" s="176">
        <v>100</v>
      </c>
      <c r="AP24" s="176">
        <f t="shared" si="7"/>
        <v>2248</v>
      </c>
      <c r="AQ24" s="275">
        <f t="shared" si="11"/>
        <v>83.259259259259252</v>
      </c>
      <c r="AR24" s="176">
        <f t="shared" si="9"/>
        <v>10.407407407407407</v>
      </c>
      <c r="AS24" s="276">
        <f t="shared" si="10"/>
        <v>2248</v>
      </c>
      <c r="AT24" s="176"/>
      <c r="AU24" s="176"/>
    </row>
    <row r="25" spans="1:47" s="256" customFormat="1" ht="12.9" customHeight="1">
      <c r="A25" s="277">
        <v>19</v>
      </c>
      <c r="B25" s="283" t="s">
        <v>120</v>
      </c>
      <c r="C25" s="302" t="s">
        <v>54</v>
      </c>
      <c r="D25" s="271">
        <v>8</v>
      </c>
      <c r="E25" s="267">
        <v>9</v>
      </c>
      <c r="F25" s="267">
        <v>7</v>
      </c>
      <c r="G25" s="272"/>
      <c r="H25" s="267">
        <v>8</v>
      </c>
      <c r="I25" s="267">
        <v>8</v>
      </c>
      <c r="J25" s="279" t="s">
        <v>104</v>
      </c>
      <c r="K25" s="267">
        <v>8.5</v>
      </c>
      <c r="L25" s="267">
        <v>10</v>
      </c>
      <c r="M25" s="267">
        <v>7</v>
      </c>
      <c r="N25" s="272"/>
      <c r="O25" s="267">
        <v>8</v>
      </c>
      <c r="P25" s="267">
        <v>8</v>
      </c>
      <c r="Q25" s="267">
        <v>9</v>
      </c>
      <c r="R25" s="267">
        <v>8</v>
      </c>
      <c r="S25" s="267">
        <v>10</v>
      </c>
      <c r="T25" s="267">
        <v>0</v>
      </c>
      <c r="U25" s="272"/>
      <c r="V25" s="267">
        <v>8.5</v>
      </c>
      <c r="W25" s="267">
        <v>9.5</v>
      </c>
      <c r="X25" s="267">
        <v>9.5</v>
      </c>
      <c r="Y25" s="267">
        <v>9.5</v>
      </c>
      <c r="Z25" s="267">
        <v>9.5</v>
      </c>
      <c r="AA25" s="267">
        <v>7</v>
      </c>
      <c r="AB25" s="266"/>
      <c r="AC25" s="267">
        <v>9.5</v>
      </c>
      <c r="AD25" s="267">
        <v>9.5</v>
      </c>
      <c r="AE25" s="267">
        <v>8</v>
      </c>
      <c r="AF25" s="267">
        <v>8</v>
      </c>
      <c r="AG25" s="267">
        <v>8</v>
      </c>
      <c r="AH25" s="267">
        <v>3</v>
      </c>
      <c r="AI25" s="273">
        <f t="shared" si="2"/>
        <v>208</v>
      </c>
      <c r="AJ25" s="176" t="str">
        <f t="shared" si="3"/>
        <v>A. Perfecta</v>
      </c>
      <c r="AK25" s="274"/>
      <c r="AL25" s="176">
        <f t="shared" si="5"/>
        <v>1</v>
      </c>
      <c r="AM25" s="176" t="str">
        <f t="shared" si="6"/>
        <v>SI</v>
      </c>
      <c r="AN25" s="176">
        <f>2065+$AN$3</f>
        <v>2190</v>
      </c>
      <c r="AO25" s="176">
        <v>100</v>
      </c>
      <c r="AP25" s="176">
        <f t="shared" si="7"/>
        <v>2290</v>
      </c>
      <c r="AQ25" s="275">
        <f t="shared" si="11"/>
        <v>84.81481481481481</v>
      </c>
      <c r="AR25" s="176">
        <f t="shared" si="9"/>
        <v>10.601851851851851</v>
      </c>
      <c r="AS25" s="276">
        <f t="shared" si="10"/>
        <v>2205.1851851851852</v>
      </c>
      <c r="AT25" s="176"/>
      <c r="AU25" s="274"/>
    </row>
    <row r="26" spans="1:47" s="256" customFormat="1" ht="12.9" customHeight="1">
      <c r="A26" s="277">
        <v>20</v>
      </c>
      <c r="B26" s="283" t="s">
        <v>120</v>
      </c>
      <c r="C26" s="302" t="s">
        <v>55</v>
      </c>
      <c r="D26" s="271">
        <v>8</v>
      </c>
      <c r="E26" s="267">
        <v>9.5</v>
      </c>
      <c r="F26" s="267">
        <v>7</v>
      </c>
      <c r="G26" s="266"/>
      <c r="H26" s="267">
        <v>8.5</v>
      </c>
      <c r="I26" s="267">
        <v>8.5</v>
      </c>
      <c r="J26" s="267">
        <v>8.5</v>
      </c>
      <c r="K26" s="267">
        <v>8</v>
      </c>
      <c r="L26" s="267">
        <v>9.5</v>
      </c>
      <c r="M26" s="267">
        <v>7</v>
      </c>
      <c r="N26" s="266"/>
      <c r="O26" s="267">
        <v>8.5</v>
      </c>
      <c r="P26" s="267">
        <v>8.5</v>
      </c>
      <c r="Q26" s="267">
        <v>9.5</v>
      </c>
      <c r="R26" s="267">
        <v>9.5</v>
      </c>
      <c r="S26" s="267">
        <v>9</v>
      </c>
      <c r="T26" s="267">
        <v>7</v>
      </c>
      <c r="U26" s="272"/>
      <c r="V26" s="267">
        <v>8.5</v>
      </c>
      <c r="W26" s="267">
        <v>8.5</v>
      </c>
      <c r="X26" s="267">
        <v>8.5</v>
      </c>
      <c r="Y26" s="267">
        <v>9</v>
      </c>
      <c r="Z26" s="267">
        <v>9.5</v>
      </c>
      <c r="AA26" s="267">
        <v>7</v>
      </c>
      <c r="AB26" s="266"/>
      <c r="AC26" s="267">
        <v>0</v>
      </c>
      <c r="AD26" s="267">
        <v>8.5</v>
      </c>
      <c r="AE26" s="267">
        <v>8</v>
      </c>
      <c r="AF26" s="267">
        <v>8</v>
      </c>
      <c r="AG26" s="267">
        <v>9.5</v>
      </c>
      <c r="AH26" s="267">
        <v>4.5</v>
      </c>
      <c r="AI26" s="273">
        <f t="shared" si="2"/>
        <v>216</v>
      </c>
      <c r="AJ26" s="176" t="str">
        <f t="shared" si="3"/>
        <v>Faltó</v>
      </c>
      <c r="AK26" s="274"/>
      <c r="AL26" s="176">
        <f t="shared" si="5"/>
        <v>0</v>
      </c>
      <c r="AM26" s="176" t="str">
        <f t="shared" si="6"/>
        <v>SI</v>
      </c>
      <c r="AN26" s="176">
        <f>2065+$AN$3</f>
        <v>2190</v>
      </c>
      <c r="AO26" s="176">
        <v>100</v>
      </c>
      <c r="AP26" s="176">
        <f t="shared" si="7"/>
        <v>2290</v>
      </c>
      <c r="AQ26" s="275">
        <f t="shared" si="11"/>
        <v>84.81481481481481</v>
      </c>
      <c r="AR26" s="176">
        <f t="shared" si="9"/>
        <v>10.601851851851851</v>
      </c>
      <c r="AS26" s="276">
        <v>2290</v>
      </c>
      <c r="AT26" s="176"/>
      <c r="AU26" s="176"/>
    </row>
    <row r="27" spans="1:47" s="256" customFormat="1" ht="12.9" customHeight="1">
      <c r="A27" s="277">
        <v>21</v>
      </c>
      <c r="B27" s="283" t="s">
        <v>121</v>
      </c>
      <c r="C27" s="300" t="s">
        <v>56</v>
      </c>
      <c r="D27" s="271">
        <v>8</v>
      </c>
      <c r="E27" s="267">
        <v>9</v>
      </c>
      <c r="F27" s="267">
        <v>7</v>
      </c>
      <c r="G27" s="266"/>
      <c r="H27" s="267">
        <v>8</v>
      </c>
      <c r="I27" s="267">
        <v>8</v>
      </c>
      <c r="J27" s="267">
        <v>8</v>
      </c>
      <c r="K27" s="267">
        <v>9</v>
      </c>
      <c r="L27" s="267">
        <v>9</v>
      </c>
      <c r="M27" s="267">
        <v>6</v>
      </c>
      <c r="N27" s="272"/>
      <c r="O27" s="267">
        <v>8</v>
      </c>
      <c r="P27" s="267">
        <v>8</v>
      </c>
      <c r="Q27" s="267">
        <v>8</v>
      </c>
      <c r="R27" s="267">
        <v>9</v>
      </c>
      <c r="S27" s="267">
        <v>9</v>
      </c>
      <c r="T27" s="267">
        <v>6</v>
      </c>
      <c r="U27" s="272"/>
      <c r="V27" s="267">
        <v>8</v>
      </c>
      <c r="W27" s="267">
        <v>8</v>
      </c>
      <c r="X27" s="267">
        <v>8</v>
      </c>
      <c r="Y27" s="267">
        <v>9</v>
      </c>
      <c r="Z27" s="267">
        <v>9</v>
      </c>
      <c r="AA27" s="267">
        <v>6</v>
      </c>
      <c r="AB27" s="266"/>
      <c r="AC27" s="267">
        <v>8</v>
      </c>
      <c r="AD27" s="267">
        <v>8</v>
      </c>
      <c r="AE27" s="267">
        <v>8</v>
      </c>
      <c r="AF27" s="267">
        <v>9</v>
      </c>
      <c r="AG27" s="267">
        <v>9</v>
      </c>
      <c r="AH27" s="267">
        <v>6</v>
      </c>
      <c r="AI27" s="273">
        <f t="shared" si="2"/>
        <v>216</v>
      </c>
      <c r="AJ27" s="176" t="str">
        <f t="shared" si="3"/>
        <v>Faltó</v>
      </c>
      <c r="AK27" s="274"/>
      <c r="AL27" s="176">
        <f t="shared" si="5"/>
        <v>0</v>
      </c>
      <c r="AM27" s="176" t="str">
        <f t="shared" si="6"/>
        <v>SI</v>
      </c>
      <c r="AN27" s="176">
        <f>1925+$AN$3</f>
        <v>2050</v>
      </c>
      <c r="AO27" s="176"/>
      <c r="AP27" s="176">
        <f t="shared" si="7"/>
        <v>2050</v>
      </c>
      <c r="AQ27" s="275">
        <f t="shared" si="11"/>
        <v>75.925925925925924</v>
      </c>
      <c r="AR27" s="176">
        <f t="shared" si="9"/>
        <v>9.4907407407407405</v>
      </c>
      <c r="AS27" s="276">
        <f t="shared" si="10"/>
        <v>2050</v>
      </c>
      <c r="AT27" s="176"/>
      <c r="AU27" s="176"/>
    </row>
    <row r="28" spans="1:47" s="256" customFormat="1" ht="12.9" customHeight="1">
      <c r="A28" s="277">
        <v>22</v>
      </c>
      <c r="B28" s="283" t="s">
        <v>122</v>
      </c>
      <c r="C28" s="300" t="s">
        <v>57</v>
      </c>
      <c r="D28" s="271">
        <v>8</v>
      </c>
      <c r="E28" s="267">
        <v>9</v>
      </c>
      <c r="F28" s="267">
        <v>7</v>
      </c>
      <c r="G28" s="272"/>
      <c r="H28" s="267">
        <v>8</v>
      </c>
      <c r="I28" s="267">
        <v>8</v>
      </c>
      <c r="J28" s="267">
        <v>8</v>
      </c>
      <c r="K28" s="267">
        <v>9</v>
      </c>
      <c r="L28" s="267">
        <v>9</v>
      </c>
      <c r="M28" s="267">
        <v>6</v>
      </c>
      <c r="N28" s="272"/>
      <c r="O28" s="267">
        <v>8</v>
      </c>
      <c r="P28" s="267">
        <v>8</v>
      </c>
      <c r="Q28" s="267">
        <v>8</v>
      </c>
      <c r="R28" s="267">
        <v>9</v>
      </c>
      <c r="S28" s="267">
        <v>9</v>
      </c>
      <c r="T28" s="267">
        <v>6</v>
      </c>
      <c r="U28" s="272"/>
      <c r="V28" s="267">
        <v>8</v>
      </c>
      <c r="W28" s="267">
        <v>8</v>
      </c>
      <c r="X28" s="267">
        <v>8</v>
      </c>
      <c r="Y28" s="267">
        <v>9</v>
      </c>
      <c r="Z28" s="267">
        <v>9</v>
      </c>
      <c r="AA28" s="267">
        <v>6</v>
      </c>
      <c r="AB28" s="266"/>
      <c r="AC28" s="267">
        <v>8</v>
      </c>
      <c r="AD28" s="267">
        <v>8</v>
      </c>
      <c r="AE28" s="267">
        <v>8</v>
      </c>
      <c r="AF28" s="267">
        <v>9</v>
      </c>
      <c r="AG28" s="267">
        <v>9</v>
      </c>
      <c r="AH28" s="267">
        <v>6</v>
      </c>
      <c r="AI28" s="273">
        <f t="shared" si="2"/>
        <v>216</v>
      </c>
      <c r="AJ28" s="176" t="str">
        <f t="shared" si="3"/>
        <v>Faltó</v>
      </c>
      <c r="AK28" s="274"/>
      <c r="AL28" s="176">
        <f t="shared" si="5"/>
        <v>0</v>
      </c>
      <c r="AM28" s="176" t="str">
        <f t="shared" si="6"/>
        <v>SI</v>
      </c>
      <c r="AN28" s="176">
        <f>2400+AN3</f>
        <v>2525</v>
      </c>
      <c r="AO28" s="176">
        <v>100</v>
      </c>
      <c r="AP28" s="176">
        <f t="shared" si="7"/>
        <v>2625</v>
      </c>
      <c r="AQ28" s="275">
        <f t="shared" si="11"/>
        <v>97.222222222222229</v>
      </c>
      <c r="AR28" s="176">
        <f t="shared" si="9"/>
        <v>12.152777777777779</v>
      </c>
      <c r="AS28" s="276">
        <v>2625</v>
      </c>
      <c r="AT28" s="176"/>
      <c r="AU28" s="176"/>
    </row>
    <row r="29" spans="1:47" s="256" customFormat="1" ht="12.9" customHeight="1">
      <c r="A29" s="269">
        <v>23</v>
      </c>
      <c r="B29" s="283" t="s">
        <v>117</v>
      </c>
      <c r="C29" s="300" t="s">
        <v>58</v>
      </c>
      <c r="D29" s="271">
        <v>8</v>
      </c>
      <c r="E29" s="267">
        <v>9</v>
      </c>
      <c r="F29" s="267">
        <v>7</v>
      </c>
      <c r="G29" s="272"/>
      <c r="H29" s="267">
        <v>8</v>
      </c>
      <c r="I29" s="279" t="s">
        <v>104</v>
      </c>
      <c r="J29" s="267">
        <v>8</v>
      </c>
      <c r="K29" s="267">
        <v>9</v>
      </c>
      <c r="L29" s="267">
        <v>9</v>
      </c>
      <c r="M29" s="267">
        <v>6</v>
      </c>
      <c r="N29" s="272"/>
      <c r="O29" s="267">
        <v>8</v>
      </c>
      <c r="P29" s="267">
        <v>8</v>
      </c>
      <c r="Q29" s="267">
        <v>8</v>
      </c>
      <c r="R29" s="267">
        <v>9</v>
      </c>
      <c r="S29" s="267">
        <v>9</v>
      </c>
      <c r="T29" s="267">
        <v>6</v>
      </c>
      <c r="U29" s="266"/>
      <c r="V29" s="267">
        <v>8</v>
      </c>
      <c r="W29" s="267">
        <v>8</v>
      </c>
      <c r="X29" s="267">
        <v>8</v>
      </c>
      <c r="Y29" s="267">
        <v>9</v>
      </c>
      <c r="Z29" s="267">
        <v>9</v>
      </c>
      <c r="AA29" s="267">
        <v>6</v>
      </c>
      <c r="AB29" s="266"/>
      <c r="AC29" s="267">
        <v>8</v>
      </c>
      <c r="AD29" s="267">
        <v>8</v>
      </c>
      <c r="AE29" s="267">
        <v>8</v>
      </c>
      <c r="AF29" s="267">
        <v>9</v>
      </c>
      <c r="AG29" s="267">
        <v>9</v>
      </c>
      <c r="AH29" s="267">
        <v>6</v>
      </c>
      <c r="AI29" s="273">
        <f t="shared" si="2"/>
        <v>208</v>
      </c>
      <c r="AJ29" s="176" t="str">
        <f t="shared" si="3"/>
        <v>A. Perfecta</v>
      </c>
      <c r="AK29" s="274"/>
      <c r="AL29" s="176">
        <f t="shared" si="5"/>
        <v>1</v>
      </c>
      <c r="AM29" s="176" t="str">
        <f t="shared" si="6"/>
        <v>SI</v>
      </c>
      <c r="AN29" s="176">
        <f>1875+$AN$3</f>
        <v>2000</v>
      </c>
      <c r="AO29" s="176">
        <v>100</v>
      </c>
      <c r="AP29" s="176">
        <f t="shared" si="7"/>
        <v>2100</v>
      </c>
      <c r="AQ29" s="275">
        <f t="shared" si="11"/>
        <v>77.777777777777771</v>
      </c>
      <c r="AR29" s="176">
        <f t="shared" si="9"/>
        <v>9.7222222222222214</v>
      </c>
      <c r="AS29" s="276">
        <v>2100</v>
      </c>
      <c r="AT29" s="176"/>
      <c r="AU29" s="176"/>
    </row>
    <row r="30" spans="1:47" s="256" customFormat="1" ht="12.9" customHeight="1">
      <c r="A30" s="269">
        <v>24</v>
      </c>
      <c r="B30" s="283" t="s">
        <v>123</v>
      </c>
      <c r="C30" s="300" t="s">
        <v>59</v>
      </c>
      <c r="D30" s="271">
        <v>8</v>
      </c>
      <c r="E30" s="267">
        <v>9</v>
      </c>
      <c r="F30" s="267">
        <v>7</v>
      </c>
      <c r="G30" s="272"/>
      <c r="H30" s="267">
        <v>8</v>
      </c>
      <c r="I30" s="267">
        <v>8</v>
      </c>
      <c r="J30" s="267">
        <v>8</v>
      </c>
      <c r="K30" s="267">
        <v>9</v>
      </c>
      <c r="L30" s="267">
        <v>9</v>
      </c>
      <c r="M30" s="267">
        <v>6</v>
      </c>
      <c r="N30" s="272"/>
      <c r="O30" s="267">
        <v>8</v>
      </c>
      <c r="P30" s="267">
        <v>8</v>
      </c>
      <c r="Q30" s="267">
        <v>8</v>
      </c>
      <c r="R30" s="267">
        <v>9</v>
      </c>
      <c r="S30" s="267">
        <v>9</v>
      </c>
      <c r="T30" s="267">
        <v>6</v>
      </c>
      <c r="U30" s="272"/>
      <c r="V30" s="267">
        <v>8</v>
      </c>
      <c r="W30" s="267">
        <v>8</v>
      </c>
      <c r="X30" s="267">
        <v>8</v>
      </c>
      <c r="Y30" s="267">
        <v>9</v>
      </c>
      <c r="Z30" s="267">
        <v>9</v>
      </c>
      <c r="AA30" s="267">
        <v>6</v>
      </c>
      <c r="AB30" s="266"/>
      <c r="AC30" s="267">
        <v>8</v>
      </c>
      <c r="AD30" s="267">
        <v>8</v>
      </c>
      <c r="AE30" s="267">
        <v>8</v>
      </c>
      <c r="AF30" s="267">
        <v>9</v>
      </c>
      <c r="AG30" s="267">
        <v>9</v>
      </c>
      <c r="AH30" s="267">
        <v>6</v>
      </c>
      <c r="AI30" s="273">
        <f t="shared" si="2"/>
        <v>216</v>
      </c>
      <c r="AJ30" s="176" t="str">
        <f t="shared" si="3"/>
        <v>Faltó</v>
      </c>
      <c r="AK30" s="274"/>
      <c r="AL30" s="176"/>
      <c r="AM30" s="176"/>
      <c r="AN30" s="176">
        <f>1875+$AN$3</f>
        <v>2000</v>
      </c>
      <c r="AO30" s="176">
        <v>100</v>
      </c>
      <c r="AP30" s="176">
        <f t="shared" si="7"/>
        <v>2100</v>
      </c>
      <c r="AQ30" s="275">
        <f t="shared" si="11"/>
        <v>77.777777777777771</v>
      </c>
      <c r="AR30" s="176">
        <f t="shared" si="9"/>
        <v>9.7222222222222214</v>
      </c>
      <c r="AS30" s="276">
        <f t="shared" si="10"/>
        <v>2100</v>
      </c>
      <c r="AT30" s="176"/>
      <c r="AU30" s="176"/>
    </row>
    <row r="31" spans="1:47" s="256" customFormat="1" ht="12.9" customHeight="1">
      <c r="A31" s="277">
        <v>25</v>
      </c>
      <c r="B31" s="283" t="s">
        <v>123</v>
      </c>
      <c r="C31" s="300" t="s">
        <v>60</v>
      </c>
      <c r="D31" s="271">
        <v>8</v>
      </c>
      <c r="E31" s="267">
        <v>9</v>
      </c>
      <c r="F31" s="267">
        <v>7</v>
      </c>
      <c r="G31" s="272"/>
      <c r="H31" s="267">
        <v>8</v>
      </c>
      <c r="I31" s="267">
        <v>8</v>
      </c>
      <c r="J31" s="267">
        <v>8</v>
      </c>
      <c r="K31" s="267">
        <v>9</v>
      </c>
      <c r="L31" s="267">
        <v>9</v>
      </c>
      <c r="M31" s="267">
        <v>6</v>
      </c>
      <c r="N31" s="272"/>
      <c r="O31" s="267">
        <v>8</v>
      </c>
      <c r="P31" s="267">
        <v>8</v>
      </c>
      <c r="Q31" s="267">
        <v>8</v>
      </c>
      <c r="R31" s="267">
        <v>9</v>
      </c>
      <c r="S31" s="267">
        <v>9</v>
      </c>
      <c r="T31" s="267">
        <v>6</v>
      </c>
      <c r="U31" s="272"/>
      <c r="V31" s="267">
        <v>8</v>
      </c>
      <c r="W31" s="267">
        <v>8</v>
      </c>
      <c r="X31" s="267">
        <v>8</v>
      </c>
      <c r="Y31" s="267">
        <v>9</v>
      </c>
      <c r="Z31" s="267">
        <v>9</v>
      </c>
      <c r="AA31" s="267">
        <v>6</v>
      </c>
      <c r="AB31" s="266"/>
      <c r="AC31" s="267">
        <v>8</v>
      </c>
      <c r="AD31" s="267">
        <v>8</v>
      </c>
      <c r="AE31" s="267">
        <v>8</v>
      </c>
      <c r="AF31" s="267">
        <v>9</v>
      </c>
      <c r="AG31" s="267">
        <v>9</v>
      </c>
      <c r="AH31" s="267">
        <v>6</v>
      </c>
      <c r="AI31" s="273">
        <f t="shared" si="2"/>
        <v>216</v>
      </c>
      <c r="AJ31" s="176" t="str">
        <f t="shared" si="3"/>
        <v>Faltó</v>
      </c>
      <c r="AK31" s="274"/>
      <c r="AL31" s="176"/>
      <c r="AM31" s="176"/>
      <c r="AN31" s="176">
        <f>1875+$AN$3</f>
        <v>2000</v>
      </c>
      <c r="AO31" s="176"/>
      <c r="AP31" s="176">
        <f t="shared" si="7"/>
        <v>2000</v>
      </c>
      <c r="AQ31" s="275">
        <f t="shared" si="11"/>
        <v>74.074074074074076</v>
      </c>
      <c r="AR31" s="176">
        <f t="shared" si="9"/>
        <v>9.2592592592592595</v>
      </c>
      <c r="AS31" s="276">
        <f t="shared" si="10"/>
        <v>2000</v>
      </c>
      <c r="AT31" s="176"/>
      <c r="AU31" s="176"/>
    </row>
    <row r="32" spans="1:47" s="256" customFormat="1" ht="12.9" customHeight="1">
      <c r="A32" s="277">
        <v>26</v>
      </c>
      <c r="B32" s="283" t="s">
        <v>124</v>
      </c>
      <c r="C32" s="300" t="s">
        <v>61</v>
      </c>
      <c r="D32" s="271">
        <v>8</v>
      </c>
      <c r="E32" s="267">
        <v>9</v>
      </c>
      <c r="F32" s="267">
        <v>7</v>
      </c>
      <c r="G32" s="272"/>
      <c r="H32" s="267">
        <v>8</v>
      </c>
      <c r="I32" s="267">
        <v>8</v>
      </c>
      <c r="J32" s="267">
        <v>8</v>
      </c>
      <c r="K32" s="267">
        <v>9</v>
      </c>
      <c r="L32" s="267">
        <v>9</v>
      </c>
      <c r="M32" s="267">
        <v>6</v>
      </c>
      <c r="N32" s="266"/>
      <c r="O32" s="267">
        <v>8</v>
      </c>
      <c r="P32" s="267">
        <v>8</v>
      </c>
      <c r="Q32" s="267">
        <v>8</v>
      </c>
      <c r="R32" s="267">
        <v>9</v>
      </c>
      <c r="S32" s="267">
        <v>9</v>
      </c>
      <c r="T32" s="267">
        <v>6</v>
      </c>
      <c r="U32" s="272"/>
      <c r="V32" s="267">
        <v>8</v>
      </c>
      <c r="W32" s="267">
        <v>8</v>
      </c>
      <c r="X32" s="267">
        <v>8</v>
      </c>
      <c r="Y32" s="267">
        <v>9</v>
      </c>
      <c r="Z32" s="267">
        <v>9</v>
      </c>
      <c r="AA32" s="267">
        <v>6</v>
      </c>
      <c r="AB32" s="266"/>
      <c r="AC32" s="278">
        <v>8</v>
      </c>
      <c r="AD32" s="278">
        <v>8</v>
      </c>
      <c r="AE32" s="267">
        <v>8</v>
      </c>
      <c r="AF32" s="267">
        <v>9</v>
      </c>
      <c r="AG32" s="267">
        <v>9</v>
      </c>
      <c r="AH32" s="267">
        <v>6</v>
      </c>
      <c r="AI32" s="273">
        <f t="shared" si="2"/>
        <v>216</v>
      </c>
      <c r="AJ32" s="176" t="str">
        <f t="shared" si="3"/>
        <v>Faltó</v>
      </c>
      <c r="AK32" s="274"/>
      <c r="AL32" s="176"/>
      <c r="AM32" s="176"/>
      <c r="AN32" s="176">
        <f>1925+$AN$3</f>
        <v>2050</v>
      </c>
      <c r="AO32" s="176">
        <v>100</v>
      </c>
      <c r="AP32" s="176">
        <f t="shared" si="7"/>
        <v>2150</v>
      </c>
      <c r="AQ32" s="275">
        <f t="shared" si="11"/>
        <v>79.629629629629633</v>
      </c>
      <c r="AR32" s="176">
        <f t="shared" si="9"/>
        <v>9.9537037037037042</v>
      </c>
      <c r="AS32" s="276">
        <f t="shared" si="10"/>
        <v>2150</v>
      </c>
      <c r="AT32" s="176"/>
      <c r="AU32" s="176"/>
    </row>
    <row r="33" spans="1:47" s="256" customFormat="1" ht="12.9" customHeight="1">
      <c r="A33" s="277">
        <v>27</v>
      </c>
      <c r="B33" s="283" t="s">
        <v>124</v>
      </c>
      <c r="C33" s="300" t="s">
        <v>62</v>
      </c>
      <c r="D33" s="271">
        <v>8</v>
      </c>
      <c r="E33" s="267">
        <v>9</v>
      </c>
      <c r="F33" s="267">
        <v>7</v>
      </c>
      <c r="G33" s="272"/>
      <c r="H33" s="267">
        <v>8</v>
      </c>
      <c r="I33" s="267">
        <v>8</v>
      </c>
      <c r="J33" s="267">
        <v>8</v>
      </c>
      <c r="K33" s="267">
        <v>9</v>
      </c>
      <c r="L33" s="267">
        <v>9</v>
      </c>
      <c r="M33" s="267">
        <v>6</v>
      </c>
      <c r="N33" s="272"/>
      <c r="O33" s="267">
        <v>8</v>
      </c>
      <c r="P33" s="267">
        <v>8</v>
      </c>
      <c r="Q33" s="267">
        <v>8</v>
      </c>
      <c r="R33" s="267">
        <v>9</v>
      </c>
      <c r="S33" s="267">
        <v>9</v>
      </c>
      <c r="T33" s="267">
        <v>6</v>
      </c>
      <c r="U33" s="272"/>
      <c r="V33" s="267">
        <v>8</v>
      </c>
      <c r="W33" s="267">
        <v>8</v>
      </c>
      <c r="X33" s="267">
        <v>8</v>
      </c>
      <c r="Y33" s="267">
        <v>9</v>
      </c>
      <c r="Z33" s="267">
        <v>9</v>
      </c>
      <c r="AA33" s="267">
        <v>6</v>
      </c>
      <c r="AB33" s="266"/>
      <c r="AC33" s="267">
        <v>8</v>
      </c>
      <c r="AD33" s="267">
        <v>8</v>
      </c>
      <c r="AE33" s="267">
        <v>8</v>
      </c>
      <c r="AF33" s="267">
        <v>9</v>
      </c>
      <c r="AG33" s="267">
        <v>9</v>
      </c>
      <c r="AH33" s="267">
        <v>6</v>
      </c>
      <c r="AI33" s="273">
        <f t="shared" si="2"/>
        <v>216</v>
      </c>
      <c r="AJ33" s="176"/>
      <c r="AK33" s="274"/>
      <c r="AL33" s="176"/>
      <c r="AM33" s="176"/>
      <c r="AN33" s="176">
        <f>1925+$AN$3</f>
        <v>2050</v>
      </c>
      <c r="AO33" s="176">
        <v>100</v>
      </c>
      <c r="AP33" s="176">
        <f t="shared" si="7"/>
        <v>2150</v>
      </c>
      <c r="AQ33" s="275">
        <f t="shared" si="11"/>
        <v>79.629629629629633</v>
      </c>
      <c r="AR33" s="176">
        <f t="shared" si="9"/>
        <v>9.9537037037037042</v>
      </c>
      <c r="AS33" s="276">
        <f t="shared" si="10"/>
        <v>2150</v>
      </c>
      <c r="AT33" s="176"/>
      <c r="AU33" s="176"/>
    </row>
    <row r="34" spans="1:47" s="256" customFormat="1" ht="12.75" customHeight="1">
      <c r="A34" s="277">
        <v>28</v>
      </c>
      <c r="B34" s="283" t="s">
        <v>125</v>
      </c>
      <c r="C34" s="300" t="s">
        <v>63</v>
      </c>
      <c r="D34" s="284">
        <v>8</v>
      </c>
      <c r="E34" s="281"/>
      <c r="F34" s="281"/>
      <c r="G34" s="285"/>
      <c r="H34" s="281"/>
      <c r="I34" s="281"/>
      <c r="J34" s="281"/>
      <c r="K34" s="281"/>
      <c r="L34" s="281"/>
      <c r="M34" s="281"/>
      <c r="N34" s="285"/>
      <c r="O34" s="281"/>
      <c r="P34" s="281"/>
      <c r="Q34" s="281"/>
      <c r="R34" s="281"/>
      <c r="S34" s="281"/>
      <c r="T34" s="281"/>
      <c r="U34" s="285"/>
      <c r="V34" s="281"/>
      <c r="W34" s="281"/>
      <c r="X34" s="281"/>
      <c r="Y34" s="281"/>
      <c r="Z34" s="281"/>
      <c r="AA34" s="281"/>
      <c r="AB34" s="285"/>
      <c r="AC34" s="281"/>
      <c r="AD34" s="281"/>
      <c r="AE34" s="281"/>
      <c r="AF34" s="281"/>
      <c r="AG34" s="281"/>
      <c r="AH34" s="281"/>
      <c r="AI34" s="273">
        <f t="shared" si="2"/>
        <v>8</v>
      </c>
      <c r="AJ34" s="176" t="str">
        <f t="shared" si="3"/>
        <v>Faltó</v>
      </c>
      <c r="AK34" s="274"/>
      <c r="AL34" s="176"/>
      <c r="AM34" s="176"/>
      <c r="AN34" s="176">
        <f>1925+$AN$3</f>
        <v>2050</v>
      </c>
      <c r="AO34" s="176">
        <v>100</v>
      </c>
      <c r="AP34" s="176">
        <f t="shared" si="7"/>
        <v>2150</v>
      </c>
      <c r="AQ34" s="275">
        <f t="shared" si="11"/>
        <v>79.629629629629633</v>
      </c>
      <c r="AR34" s="176">
        <f t="shared" si="9"/>
        <v>9.9537037037037042</v>
      </c>
      <c r="AS34" s="276">
        <f t="shared" si="10"/>
        <v>79.629629629629633</v>
      </c>
      <c r="AT34" s="176"/>
      <c r="AU34" s="176"/>
    </row>
    <row r="35" spans="1:47" s="256" customFormat="1" ht="12.9" customHeight="1">
      <c r="A35" s="269">
        <v>29</v>
      </c>
      <c r="B35" s="283" t="s">
        <v>121</v>
      </c>
      <c r="C35" s="300" t="s">
        <v>64</v>
      </c>
      <c r="D35" s="271">
        <v>8</v>
      </c>
      <c r="E35" s="267">
        <v>9</v>
      </c>
      <c r="F35" s="267">
        <v>7</v>
      </c>
      <c r="G35" s="272"/>
      <c r="H35" s="267">
        <v>8</v>
      </c>
      <c r="I35" s="267">
        <v>8</v>
      </c>
      <c r="J35" s="267">
        <v>8</v>
      </c>
      <c r="K35" s="267">
        <v>9</v>
      </c>
      <c r="L35" s="267">
        <v>9</v>
      </c>
      <c r="M35" s="267">
        <v>6</v>
      </c>
      <c r="N35" s="272"/>
      <c r="O35" s="267">
        <v>8</v>
      </c>
      <c r="P35" s="267">
        <v>8</v>
      </c>
      <c r="Q35" s="267">
        <v>8</v>
      </c>
      <c r="R35" s="267">
        <v>9</v>
      </c>
      <c r="S35" s="267">
        <v>9</v>
      </c>
      <c r="T35" s="267">
        <v>6</v>
      </c>
      <c r="U35" s="272"/>
      <c r="V35" s="267">
        <v>8</v>
      </c>
      <c r="W35" s="267">
        <v>8</v>
      </c>
      <c r="X35" s="267">
        <v>8</v>
      </c>
      <c r="Y35" s="267">
        <v>9</v>
      </c>
      <c r="Z35" s="267">
        <v>9</v>
      </c>
      <c r="AA35" s="279" t="s">
        <v>104</v>
      </c>
      <c r="AB35" s="266"/>
      <c r="AC35" s="279" t="s">
        <v>104</v>
      </c>
      <c r="AD35" s="267">
        <v>8</v>
      </c>
      <c r="AE35" s="267">
        <v>8</v>
      </c>
      <c r="AF35" s="267">
        <v>9</v>
      </c>
      <c r="AG35" s="267">
        <v>9</v>
      </c>
      <c r="AH35" s="267">
        <v>6</v>
      </c>
      <c r="AI35" s="273">
        <f t="shared" si="2"/>
        <v>202</v>
      </c>
      <c r="AJ35" s="176" t="str">
        <f t="shared" si="3"/>
        <v>Faltó</v>
      </c>
      <c r="AK35" s="274"/>
      <c r="AL35" s="176">
        <f t="shared" ref="AL35:AL54" si="12">COUNTIF(D35:AH35,"F")</f>
        <v>2</v>
      </c>
      <c r="AM35" s="176" t="str">
        <f t="shared" ref="AM35:AM41" si="13">IF(AND(COUNTIF(D35:U35,"F")&lt;14,COUNTIF(Q35:U35,"F")&lt;=3),"SI","NO CORRESPONDE")</f>
        <v>SI</v>
      </c>
      <c r="AN35" s="176">
        <f>2586+$AN$3</f>
        <v>2711</v>
      </c>
      <c r="AO35" s="176">
        <v>100</v>
      </c>
      <c r="AP35" s="176">
        <f t="shared" si="7"/>
        <v>2811</v>
      </c>
      <c r="AQ35" s="275">
        <f t="shared" si="11"/>
        <v>104.11111111111111</v>
      </c>
      <c r="AR35" s="176">
        <f t="shared" si="9"/>
        <v>13.013888888888889</v>
      </c>
      <c r="AS35" s="276">
        <v>2811</v>
      </c>
      <c r="AT35" s="176"/>
      <c r="AU35" s="176"/>
    </row>
    <row r="36" spans="1:47" s="256" customFormat="1" ht="12.75" customHeight="1">
      <c r="A36" s="269">
        <v>30</v>
      </c>
      <c r="B36" s="283" t="s">
        <v>126</v>
      </c>
      <c r="C36" s="300" t="s">
        <v>66</v>
      </c>
      <c r="D36" s="271">
        <v>8</v>
      </c>
      <c r="E36" s="267">
        <v>9</v>
      </c>
      <c r="F36" s="267">
        <v>7</v>
      </c>
      <c r="G36" s="272"/>
      <c r="H36" s="267">
        <v>8</v>
      </c>
      <c r="I36" s="267">
        <v>8</v>
      </c>
      <c r="J36" s="267">
        <v>8</v>
      </c>
      <c r="K36" s="267">
        <v>9</v>
      </c>
      <c r="L36" s="267">
        <v>9</v>
      </c>
      <c r="M36" s="267">
        <v>6</v>
      </c>
      <c r="N36" s="272"/>
      <c r="O36" s="267">
        <v>8</v>
      </c>
      <c r="P36" s="267">
        <v>8</v>
      </c>
      <c r="Q36" s="267">
        <v>8</v>
      </c>
      <c r="R36" s="267">
        <v>9</v>
      </c>
      <c r="S36" s="267">
        <v>9</v>
      </c>
      <c r="T36" s="267">
        <v>6</v>
      </c>
      <c r="U36" s="272"/>
      <c r="V36" s="267">
        <v>8</v>
      </c>
      <c r="W36" s="267">
        <v>8</v>
      </c>
      <c r="X36" s="280">
        <v>8</v>
      </c>
      <c r="Y36" s="284">
        <v>9</v>
      </c>
      <c r="Z36" s="267">
        <v>9</v>
      </c>
      <c r="AA36" s="267">
        <v>6</v>
      </c>
      <c r="AB36" s="266"/>
      <c r="AC36" s="267">
        <v>8</v>
      </c>
      <c r="AD36" s="267">
        <v>8</v>
      </c>
      <c r="AE36" s="267">
        <v>8</v>
      </c>
      <c r="AF36" s="267">
        <v>9</v>
      </c>
      <c r="AG36" s="267">
        <v>9</v>
      </c>
      <c r="AH36" s="267">
        <v>6</v>
      </c>
      <c r="AI36" s="273">
        <f t="shared" si="2"/>
        <v>216</v>
      </c>
      <c r="AJ36" s="176" t="str">
        <f t="shared" si="3"/>
        <v>Faltó</v>
      </c>
      <c r="AK36" s="274"/>
      <c r="AL36" s="176">
        <f t="shared" si="12"/>
        <v>0</v>
      </c>
      <c r="AM36" s="176" t="str">
        <f t="shared" si="13"/>
        <v>SI</v>
      </c>
      <c r="AN36" s="176">
        <f>2125+$AN$3</f>
        <v>2250</v>
      </c>
      <c r="AO36" s="176">
        <v>100</v>
      </c>
      <c r="AP36" s="176">
        <f t="shared" si="7"/>
        <v>2350</v>
      </c>
      <c r="AQ36" s="275">
        <f t="shared" si="11"/>
        <v>87.037037037037038</v>
      </c>
      <c r="AR36" s="176">
        <f t="shared" si="9"/>
        <v>10.87962962962963</v>
      </c>
      <c r="AS36" s="276">
        <f t="shared" si="10"/>
        <v>2350</v>
      </c>
      <c r="AT36" s="176"/>
      <c r="AU36" s="176"/>
    </row>
    <row r="37" spans="1:47" s="256" customFormat="1" ht="12.9" customHeight="1">
      <c r="A37" s="277">
        <v>31</v>
      </c>
      <c r="B37" s="283" t="s">
        <v>127</v>
      </c>
      <c r="C37" s="300" t="s">
        <v>67</v>
      </c>
      <c r="D37" s="271">
        <v>8</v>
      </c>
      <c r="E37" s="267">
        <v>8</v>
      </c>
      <c r="F37" s="267">
        <v>8</v>
      </c>
      <c r="G37" s="272"/>
      <c r="H37" s="267">
        <v>8</v>
      </c>
      <c r="I37" s="267">
        <v>8</v>
      </c>
      <c r="J37" s="267">
        <v>8</v>
      </c>
      <c r="K37" s="267">
        <v>8</v>
      </c>
      <c r="L37" s="267">
        <v>8</v>
      </c>
      <c r="M37" s="267">
        <v>8</v>
      </c>
      <c r="N37" s="272"/>
      <c r="O37" s="267">
        <v>8</v>
      </c>
      <c r="P37" s="267">
        <v>8</v>
      </c>
      <c r="Q37" s="267">
        <v>8</v>
      </c>
      <c r="R37" s="267">
        <v>8</v>
      </c>
      <c r="S37" s="267">
        <v>8</v>
      </c>
      <c r="T37" s="267">
        <v>8</v>
      </c>
      <c r="U37" s="272"/>
      <c r="V37" s="267">
        <v>8</v>
      </c>
      <c r="W37" s="267">
        <v>8</v>
      </c>
      <c r="X37" s="267">
        <v>8</v>
      </c>
      <c r="Y37" s="267">
        <v>8</v>
      </c>
      <c r="Z37" s="267">
        <v>8</v>
      </c>
      <c r="AA37" s="267">
        <v>8</v>
      </c>
      <c r="AB37" s="266"/>
      <c r="AC37" s="267">
        <v>8</v>
      </c>
      <c r="AD37" s="267">
        <v>8</v>
      </c>
      <c r="AE37" s="267">
        <v>8</v>
      </c>
      <c r="AF37" s="267">
        <v>8</v>
      </c>
      <c r="AG37" s="267">
        <v>8</v>
      </c>
      <c r="AH37" s="267">
        <v>8</v>
      </c>
      <c r="AI37" s="273">
        <f t="shared" si="2"/>
        <v>216</v>
      </c>
      <c r="AJ37" s="176" t="str">
        <f t="shared" si="3"/>
        <v>Faltó</v>
      </c>
      <c r="AK37" s="274"/>
      <c r="AL37" s="176">
        <f t="shared" si="12"/>
        <v>0</v>
      </c>
      <c r="AM37" s="176" t="str">
        <f t="shared" si="13"/>
        <v>SI</v>
      </c>
      <c r="AN37" s="176">
        <f>2065+$AN$3</f>
        <v>2190</v>
      </c>
      <c r="AO37" s="176">
        <v>100</v>
      </c>
      <c r="AP37" s="176">
        <f t="shared" si="7"/>
        <v>2290</v>
      </c>
      <c r="AQ37" s="275">
        <f t="shared" si="11"/>
        <v>84.81481481481481</v>
      </c>
      <c r="AR37" s="176">
        <f t="shared" si="9"/>
        <v>10.601851851851851</v>
      </c>
      <c r="AS37" s="276">
        <f t="shared" si="10"/>
        <v>2290</v>
      </c>
      <c r="AT37" s="176"/>
      <c r="AU37" s="176"/>
    </row>
    <row r="38" spans="1:47" s="256" customFormat="1" ht="12.9" customHeight="1">
      <c r="A38" s="277">
        <v>32</v>
      </c>
      <c r="B38" s="283" t="s">
        <v>117</v>
      </c>
      <c r="C38" s="300" t="s">
        <v>68</v>
      </c>
      <c r="D38" s="271">
        <v>8</v>
      </c>
      <c r="E38" s="267">
        <v>9</v>
      </c>
      <c r="F38" s="267">
        <v>7</v>
      </c>
      <c r="G38" s="272"/>
      <c r="H38" s="267">
        <v>8</v>
      </c>
      <c r="I38" s="267">
        <v>8</v>
      </c>
      <c r="J38" s="267">
        <v>8</v>
      </c>
      <c r="K38" s="267">
        <v>9</v>
      </c>
      <c r="L38" s="267">
        <v>9</v>
      </c>
      <c r="M38" s="267">
        <v>6</v>
      </c>
      <c r="N38" s="272"/>
      <c r="O38" s="267">
        <v>8</v>
      </c>
      <c r="P38" s="267">
        <v>8</v>
      </c>
      <c r="Q38" s="267">
        <v>8</v>
      </c>
      <c r="R38" s="267">
        <v>9</v>
      </c>
      <c r="S38" s="267">
        <v>9</v>
      </c>
      <c r="T38" s="267">
        <v>6</v>
      </c>
      <c r="U38" s="272"/>
      <c r="V38" s="267">
        <v>8</v>
      </c>
      <c r="W38" s="267">
        <v>8</v>
      </c>
      <c r="X38" s="267">
        <v>8</v>
      </c>
      <c r="Y38" s="267">
        <v>9</v>
      </c>
      <c r="Z38" s="267">
        <v>9</v>
      </c>
      <c r="AA38" s="267">
        <v>6</v>
      </c>
      <c r="AB38" s="266"/>
      <c r="AC38" s="267">
        <v>8</v>
      </c>
      <c r="AD38" s="267">
        <v>8</v>
      </c>
      <c r="AE38" s="267">
        <v>8</v>
      </c>
      <c r="AF38" s="267">
        <v>9</v>
      </c>
      <c r="AG38" s="267">
        <v>9</v>
      </c>
      <c r="AH38" s="267">
        <v>6</v>
      </c>
      <c r="AI38" s="273">
        <f t="shared" si="2"/>
        <v>216</v>
      </c>
      <c r="AJ38" s="176" t="str">
        <f t="shared" si="3"/>
        <v>Faltó</v>
      </c>
      <c r="AK38" s="274"/>
      <c r="AL38" s="176">
        <f t="shared" si="12"/>
        <v>0</v>
      </c>
      <c r="AM38" s="176" t="str">
        <f t="shared" si="13"/>
        <v>SI</v>
      </c>
      <c r="AN38" s="176">
        <f>1875+$AN$3</f>
        <v>2000</v>
      </c>
      <c r="AO38" s="176">
        <v>100</v>
      </c>
      <c r="AP38" s="176">
        <f t="shared" si="7"/>
        <v>2100</v>
      </c>
      <c r="AQ38" s="275">
        <f t="shared" si="11"/>
        <v>77.777777777777771</v>
      </c>
      <c r="AR38" s="176">
        <f t="shared" si="9"/>
        <v>9.7222222222222214</v>
      </c>
      <c r="AS38" s="276">
        <f t="shared" si="10"/>
        <v>2100</v>
      </c>
      <c r="AT38" s="176"/>
      <c r="AU38" s="176"/>
    </row>
    <row r="39" spans="1:47" s="256" customFormat="1" ht="12.9" customHeight="1">
      <c r="A39" s="277">
        <v>33</v>
      </c>
      <c r="B39" s="270" t="s">
        <v>128</v>
      </c>
      <c r="C39" s="300" t="s">
        <v>69</v>
      </c>
      <c r="D39" s="271">
        <v>8</v>
      </c>
      <c r="E39" s="267">
        <v>9</v>
      </c>
      <c r="F39" s="267">
        <v>7</v>
      </c>
      <c r="G39" s="272"/>
      <c r="H39" s="267">
        <v>8</v>
      </c>
      <c r="I39" s="267">
        <v>8</v>
      </c>
      <c r="J39" s="267">
        <v>8</v>
      </c>
      <c r="K39" s="267">
        <v>9</v>
      </c>
      <c r="L39" s="267">
        <v>9</v>
      </c>
      <c r="M39" s="267">
        <v>6</v>
      </c>
      <c r="N39" s="272"/>
      <c r="O39" s="267">
        <v>8</v>
      </c>
      <c r="P39" s="267">
        <v>8</v>
      </c>
      <c r="Q39" s="267">
        <v>8</v>
      </c>
      <c r="R39" s="267">
        <v>9</v>
      </c>
      <c r="S39" s="267">
        <v>9</v>
      </c>
      <c r="T39" s="267">
        <v>6</v>
      </c>
      <c r="U39" s="266"/>
      <c r="V39" s="267">
        <v>8</v>
      </c>
      <c r="W39" s="267">
        <v>8</v>
      </c>
      <c r="X39" s="267">
        <v>8</v>
      </c>
      <c r="Y39" s="267">
        <v>9</v>
      </c>
      <c r="Z39" s="267">
        <v>9</v>
      </c>
      <c r="AA39" s="267">
        <v>6</v>
      </c>
      <c r="AB39" s="266"/>
      <c r="AC39" s="267">
        <v>8</v>
      </c>
      <c r="AD39" s="267">
        <v>8</v>
      </c>
      <c r="AE39" s="267">
        <v>8</v>
      </c>
      <c r="AF39" s="267">
        <v>9</v>
      </c>
      <c r="AG39" s="267">
        <v>9</v>
      </c>
      <c r="AH39" s="267">
        <v>6</v>
      </c>
      <c r="AI39" s="273">
        <f t="shared" si="2"/>
        <v>216</v>
      </c>
      <c r="AJ39" s="176" t="str">
        <f t="shared" si="3"/>
        <v>Faltó</v>
      </c>
      <c r="AK39" s="274"/>
      <c r="AL39" s="176">
        <f t="shared" si="12"/>
        <v>0</v>
      </c>
      <c r="AM39" s="176" t="str">
        <f t="shared" si="13"/>
        <v>SI</v>
      </c>
      <c r="AN39" s="176">
        <f>3725+AN3</f>
        <v>3850</v>
      </c>
      <c r="AO39" s="176">
        <v>100</v>
      </c>
      <c r="AP39" s="176">
        <f t="shared" si="7"/>
        <v>3950</v>
      </c>
      <c r="AQ39" s="275">
        <f t="shared" si="11"/>
        <v>146.2962962962963</v>
      </c>
      <c r="AR39" s="176">
        <f t="shared" si="9"/>
        <v>18.287037037037038</v>
      </c>
      <c r="AS39" s="276">
        <f t="shared" si="10"/>
        <v>3950</v>
      </c>
      <c r="AT39" s="176"/>
      <c r="AU39" s="176"/>
    </row>
    <row r="40" spans="1:47" s="256" customFormat="1" ht="12.9" customHeight="1">
      <c r="A40" s="277">
        <v>34</v>
      </c>
      <c r="B40" s="283" t="s">
        <v>127</v>
      </c>
      <c r="C40" s="300" t="s">
        <v>70</v>
      </c>
      <c r="D40" s="278">
        <v>8</v>
      </c>
      <c r="E40" s="278">
        <v>8</v>
      </c>
      <c r="F40" s="278">
        <v>8</v>
      </c>
      <c r="G40" s="272"/>
      <c r="H40" s="278">
        <v>8</v>
      </c>
      <c r="I40" s="278">
        <v>8</v>
      </c>
      <c r="J40" s="278">
        <v>8</v>
      </c>
      <c r="K40" s="278">
        <v>8</v>
      </c>
      <c r="L40" s="278">
        <v>8</v>
      </c>
      <c r="M40" s="278">
        <v>8</v>
      </c>
      <c r="N40" s="272"/>
      <c r="O40" s="278">
        <v>8</v>
      </c>
      <c r="P40" s="278">
        <v>8</v>
      </c>
      <c r="Q40" s="278">
        <v>8</v>
      </c>
      <c r="R40" s="278">
        <v>8</v>
      </c>
      <c r="S40" s="278">
        <v>8</v>
      </c>
      <c r="T40" s="278">
        <v>8</v>
      </c>
      <c r="U40" s="266"/>
      <c r="V40" s="278">
        <v>8</v>
      </c>
      <c r="W40" s="278">
        <v>8</v>
      </c>
      <c r="X40" s="278">
        <v>8</v>
      </c>
      <c r="Y40" s="278">
        <v>8</v>
      </c>
      <c r="Z40" s="278">
        <v>8</v>
      </c>
      <c r="AA40" s="278">
        <v>8</v>
      </c>
      <c r="AB40" s="266"/>
      <c r="AC40" s="278">
        <v>8</v>
      </c>
      <c r="AD40" s="278">
        <v>8</v>
      </c>
      <c r="AE40" s="278">
        <v>8</v>
      </c>
      <c r="AF40" s="278">
        <v>8</v>
      </c>
      <c r="AG40" s="278">
        <v>8</v>
      </c>
      <c r="AH40" s="278">
        <v>8</v>
      </c>
      <c r="AI40" s="273">
        <f t="shared" si="2"/>
        <v>216</v>
      </c>
      <c r="AJ40" s="176" t="str">
        <f t="shared" si="3"/>
        <v>Faltó</v>
      </c>
      <c r="AK40" s="274"/>
      <c r="AL40" s="176">
        <f t="shared" si="12"/>
        <v>0</v>
      </c>
      <c r="AM40" s="176" t="str">
        <f t="shared" si="13"/>
        <v>SI</v>
      </c>
      <c r="AN40" s="176">
        <f>2165+AN3</f>
        <v>2290</v>
      </c>
      <c r="AO40" s="176">
        <v>100</v>
      </c>
      <c r="AP40" s="176">
        <f t="shared" si="7"/>
        <v>2390</v>
      </c>
      <c r="AQ40" s="275">
        <f t="shared" si="11"/>
        <v>88.518518518518519</v>
      </c>
      <c r="AR40" s="176">
        <f t="shared" si="9"/>
        <v>11.064814814814815</v>
      </c>
      <c r="AS40" s="276">
        <f t="shared" si="10"/>
        <v>2390</v>
      </c>
      <c r="AT40" s="176"/>
      <c r="AU40" s="176"/>
    </row>
    <row r="41" spans="1:47" s="256" customFormat="1" ht="12.9" customHeight="1">
      <c r="A41" s="269">
        <v>35</v>
      </c>
      <c r="B41" s="283" t="s">
        <v>120</v>
      </c>
      <c r="C41" s="302" t="s">
        <v>71</v>
      </c>
      <c r="D41" s="271">
        <v>8</v>
      </c>
      <c r="E41" s="267">
        <v>9.5</v>
      </c>
      <c r="F41" s="267">
        <v>7</v>
      </c>
      <c r="G41" s="272"/>
      <c r="H41" s="267">
        <v>8.5</v>
      </c>
      <c r="I41" s="267">
        <v>8.5</v>
      </c>
      <c r="J41" s="267">
        <v>8.5</v>
      </c>
      <c r="K41" s="267">
        <v>8.5</v>
      </c>
      <c r="L41" s="267">
        <v>7</v>
      </c>
      <c r="M41" s="267">
        <v>7</v>
      </c>
      <c r="N41" s="272"/>
      <c r="O41" s="267">
        <v>8.5</v>
      </c>
      <c r="P41" s="267">
        <v>8.5</v>
      </c>
      <c r="Q41" s="267">
        <v>8.5</v>
      </c>
      <c r="R41" s="267">
        <v>9.5</v>
      </c>
      <c r="S41" s="267">
        <v>9.5</v>
      </c>
      <c r="T41" s="267">
        <v>7</v>
      </c>
      <c r="U41" s="272"/>
      <c r="V41" s="267">
        <v>8.5</v>
      </c>
      <c r="W41" s="267">
        <v>8.5</v>
      </c>
      <c r="X41" s="267">
        <v>8.5</v>
      </c>
      <c r="Y41" s="267">
        <v>0</v>
      </c>
      <c r="Z41" s="267">
        <v>9.5</v>
      </c>
      <c r="AA41" s="267">
        <v>7</v>
      </c>
      <c r="AB41" s="266"/>
      <c r="AC41" s="267">
        <v>9.5</v>
      </c>
      <c r="AD41" s="267">
        <v>8.5</v>
      </c>
      <c r="AE41" s="267">
        <v>8</v>
      </c>
      <c r="AF41" s="267">
        <v>8</v>
      </c>
      <c r="AG41" s="267">
        <v>9.5</v>
      </c>
      <c r="AH41" s="267">
        <v>6.5</v>
      </c>
      <c r="AI41" s="273">
        <f t="shared" si="2"/>
        <v>216</v>
      </c>
      <c r="AJ41" s="176" t="str">
        <f t="shared" si="3"/>
        <v>Faltó</v>
      </c>
      <c r="AK41" s="274"/>
      <c r="AL41" s="176">
        <f t="shared" si="12"/>
        <v>0</v>
      </c>
      <c r="AM41" s="176" t="str">
        <f t="shared" si="13"/>
        <v>SI</v>
      </c>
      <c r="AN41" s="176">
        <f>2065+$AN$3</f>
        <v>2190</v>
      </c>
      <c r="AO41" s="176">
        <v>100</v>
      </c>
      <c r="AP41" s="176">
        <f t="shared" si="7"/>
        <v>2290</v>
      </c>
      <c r="AQ41" s="275">
        <f t="shared" si="11"/>
        <v>84.81481481481481</v>
      </c>
      <c r="AR41" s="176">
        <f t="shared" si="9"/>
        <v>10.601851851851851</v>
      </c>
      <c r="AS41" s="276">
        <f t="shared" si="10"/>
        <v>2290</v>
      </c>
      <c r="AT41" s="176"/>
      <c r="AU41" s="176"/>
    </row>
    <row r="42" spans="1:47" s="256" customFormat="1" ht="12.9" customHeight="1">
      <c r="A42" s="269">
        <v>36</v>
      </c>
      <c r="B42" s="283" t="s">
        <v>127</v>
      </c>
      <c r="C42" s="300" t="s">
        <v>72</v>
      </c>
      <c r="D42" s="271">
        <v>8</v>
      </c>
      <c r="E42" s="267">
        <v>8</v>
      </c>
      <c r="F42" s="267">
        <v>8</v>
      </c>
      <c r="G42" s="272"/>
      <c r="H42" s="267">
        <v>8</v>
      </c>
      <c r="I42" s="267">
        <v>8</v>
      </c>
      <c r="J42" s="267">
        <v>8</v>
      </c>
      <c r="K42" s="267">
        <v>8</v>
      </c>
      <c r="L42" s="267">
        <v>8</v>
      </c>
      <c r="M42" s="267">
        <v>8</v>
      </c>
      <c r="N42" s="272"/>
      <c r="O42" s="267">
        <v>8</v>
      </c>
      <c r="P42" s="267">
        <v>8</v>
      </c>
      <c r="Q42" s="267">
        <v>8</v>
      </c>
      <c r="R42" s="267">
        <v>8</v>
      </c>
      <c r="S42" s="267">
        <v>8</v>
      </c>
      <c r="T42" s="267">
        <v>8</v>
      </c>
      <c r="U42" s="272"/>
      <c r="V42" s="267">
        <v>8</v>
      </c>
      <c r="W42" s="267">
        <v>8</v>
      </c>
      <c r="X42" s="267">
        <v>8</v>
      </c>
      <c r="Y42" s="267">
        <v>8</v>
      </c>
      <c r="Z42" s="267">
        <v>8</v>
      </c>
      <c r="AA42" s="267">
        <v>8</v>
      </c>
      <c r="AB42" s="266"/>
      <c r="AC42" s="267">
        <v>8</v>
      </c>
      <c r="AD42" s="267">
        <v>8</v>
      </c>
      <c r="AE42" s="267">
        <v>8</v>
      </c>
      <c r="AF42" s="267">
        <v>8</v>
      </c>
      <c r="AG42" s="267">
        <v>8</v>
      </c>
      <c r="AH42" s="267">
        <v>8</v>
      </c>
      <c r="AI42" s="273">
        <f t="shared" si="2"/>
        <v>216</v>
      </c>
      <c r="AJ42" s="176"/>
      <c r="AK42" s="274"/>
      <c r="AL42" s="176">
        <f t="shared" si="12"/>
        <v>0</v>
      </c>
      <c r="AM42" s="176"/>
      <c r="AN42" s="176">
        <f>2065+$AN$3</f>
        <v>2190</v>
      </c>
      <c r="AO42" s="176">
        <v>100</v>
      </c>
      <c r="AP42" s="176">
        <f t="shared" si="7"/>
        <v>2290</v>
      </c>
      <c r="AQ42" s="275">
        <f t="shared" si="11"/>
        <v>84.81481481481481</v>
      </c>
      <c r="AR42" s="176">
        <f t="shared" si="9"/>
        <v>10.601851851851851</v>
      </c>
      <c r="AS42" s="276">
        <f t="shared" si="10"/>
        <v>2290</v>
      </c>
      <c r="AT42" s="176"/>
      <c r="AU42" s="176"/>
    </row>
    <row r="43" spans="1:47" s="256" customFormat="1" ht="12.9" customHeight="1">
      <c r="A43" s="277">
        <v>37</v>
      </c>
      <c r="B43" s="283" t="s">
        <v>120</v>
      </c>
      <c r="C43" s="302" t="s">
        <v>73</v>
      </c>
      <c r="D43" s="271">
        <v>8</v>
      </c>
      <c r="E43" s="267">
        <v>9.5</v>
      </c>
      <c r="F43" s="267">
        <v>7</v>
      </c>
      <c r="G43" s="272"/>
      <c r="H43" s="267">
        <v>8.5</v>
      </c>
      <c r="I43" s="267">
        <v>8.5</v>
      </c>
      <c r="J43" s="267">
        <v>8.5</v>
      </c>
      <c r="K43" s="267">
        <v>8.5</v>
      </c>
      <c r="L43" s="267">
        <v>10.5</v>
      </c>
      <c r="M43" s="267">
        <v>5</v>
      </c>
      <c r="N43" s="272"/>
      <c r="O43" s="267">
        <v>8.5</v>
      </c>
      <c r="P43" s="267">
        <v>8.5</v>
      </c>
      <c r="Q43" s="267">
        <v>8.5</v>
      </c>
      <c r="R43" s="267">
        <v>9.5</v>
      </c>
      <c r="S43" s="267">
        <v>9.5</v>
      </c>
      <c r="T43" s="267">
        <v>7</v>
      </c>
      <c r="U43" s="272"/>
      <c r="V43" s="267">
        <v>8.5</v>
      </c>
      <c r="W43" s="267">
        <v>8.5</v>
      </c>
      <c r="X43" s="267">
        <v>8.5</v>
      </c>
      <c r="Y43" s="267">
        <v>3</v>
      </c>
      <c r="Z43" s="267">
        <v>9</v>
      </c>
      <c r="AA43" s="267">
        <v>0</v>
      </c>
      <c r="AB43" s="266"/>
      <c r="AC43" s="267">
        <v>8.5</v>
      </c>
      <c r="AD43" s="267">
        <v>8.5</v>
      </c>
      <c r="AE43" s="267">
        <v>8</v>
      </c>
      <c r="AF43" s="267">
        <v>7</v>
      </c>
      <c r="AG43" s="267">
        <v>9</v>
      </c>
      <c r="AH43" s="267">
        <v>12</v>
      </c>
      <c r="AI43" s="273">
        <f t="shared" si="2"/>
        <v>216</v>
      </c>
      <c r="AJ43" s="176"/>
      <c r="AK43" s="274"/>
      <c r="AL43" s="176">
        <f t="shared" si="12"/>
        <v>0</v>
      </c>
      <c r="AM43" s="176"/>
      <c r="AN43" s="176">
        <f>2065+$AN$3</f>
        <v>2190</v>
      </c>
      <c r="AO43" s="176">
        <v>100</v>
      </c>
      <c r="AP43" s="176">
        <f t="shared" si="7"/>
        <v>2290</v>
      </c>
      <c r="AQ43" s="275">
        <f t="shared" si="11"/>
        <v>84.81481481481481</v>
      </c>
      <c r="AR43" s="176">
        <f t="shared" si="9"/>
        <v>10.601851851851851</v>
      </c>
      <c r="AS43" s="276">
        <f t="shared" si="10"/>
        <v>2290</v>
      </c>
      <c r="AT43" s="176"/>
      <c r="AU43" s="176"/>
    </row>
    <row r="44" spans="1:47" s="256" customFormat="1" ht="12.9" customHeight="1">
      <c r="A44" s="277">
        <v>38</v>
      </c>
      <c r="B44" s="283" t="s">
        <v>117</v>
      </c>
      <c r="C44" s="300" t="s">
        <v>74</v>
      </c>
      <c r="D44" s="271">
        <v>8</v>
      </c>
      <c r="E44" s="267">
        <v>9</v>
      </c>
      <c r="F44" s="267">
        <v>7</v>
      </c>
      <c r="G44" s="266"/>
      <c r="H44" s="267">
        <v>8</v>
      </c>
      <c r="I44" s="267">
        <v>8</v>
      </c>
      <c r="J44" s="267">
        <v>8</v>
      </c>
      <c r="K44" s="267">
        <v>9</v>
      </c>
      <c r="L44" s="267">
        <v>9</v>
      </c>
      <c r="M44" s="267">
        <v>6</v>
      </c>
      <c r="N44" s="266"/>
      <c r="O44" s="267">
        <v>8</v>
      </c>
      <c r="P44" s="267">
        <v>8</v>
      </c>
      <c r="Q44" s="267">
        <v>8</v>
      </c>
      <c r="R44" s="267">
        <v>9</v>
      </c>
      <c r="S44" s="267">
        <v>9</v>
      </c>
      <c r="T44" s="267">
        <v>6</v>
      </c>
      <c r="U44" s="266"/>
      <c r="V44" s="267">
        <v>8</v>
      </c>
      <c r="W44" s="267">
        <v>8</v>
      </c>
      <c r="X44" s="267">
        <v>8</v>
      </c>
      <c r="Y44" s="267">
        <v>9</v>
      </c>
      <c r="Z44" s="267">
        <v>9</v>
      </c>
      <c r="AA44" s="267">
        <v>6</v>
      </c>
      <c r="AB44" s="266"/>
      <c r="AC44" s="267">
        <v>8</v>
      </c>
      <c r="AD44" s="267">
        <v>8</v>
      </c>
      <c r="AE44" s="267">
        <v>8</v>
      </c>
      <c r="AF44" s="267">
        <v>9</v>
      </c>
      <c r="AG44" s="267">
        <v>9</v>
      </c>
      <c r="AH44" s="267">
        <v>6</v>
      </c>
      <c r="AI44" s="273">
        <f t="shared" si="2"/>
        <v>216</v>
      </c>
      <c r="AJ44" s="176" t="str">
        <f t="shared" si="3"/>
        <v>Faltó</v>
      </c>
      <c r="AK44" s="274"/>
      <c r="AL44" s="176">
        <f t="shared" si="12"/>
        <v>0</v>
      </c>
      <c r="AM44" s="176" t="str">
        <f t="shared" ref="AM44:AM54" si="14">IF(AND(COUNTIF(D44:U44,"F")&lt;14,COUNTIF(Q44:U44,"F")&lt;=3),"SI","NO CORRESPONDE")</f>
        <v>SI</v>
      </c>
      <c r="AN44" s="176">
        <f>1875+$AN$3</f>
        <v>2000</v>
      </c>
      <c r="AO44" s="176">
        <v>100</v>
      </c>
      <c r="AP44" s="176">
        <f t="shared" si="7"/>
        <v>2100</v>
      </c>
      <c r="AQ44" s="275">
        <f t="shared" si="11"/>
        <v>77.777777777777771</v>
      </c>
      <c r="AR44" s="176">
        <f t="shared" si="9"/>
        <v>9.7222222222222214</v>
      </c>
      <c r="AS44" s="276">
        <f t="shared" si="10"/>
        <v>2100</v>
      </c>
      <c r="AT44" s="176"/>
      <c r="AU44" s="176"/>
    </row>
    <row r="45" spans="1:47" s="256" customFormat="1" ht="12.9" customHeight="1">
      <c r="A45" s="277">
        <v>39</v>
      </c>
      <c r="B45" s="283" t="s">
        <v>123</v>
      </c>
      <c r="C45" s="300" t="s">
        <v>75</v>
      </c>
      <c r="D45" s="278">
        <v>8</v>
      </c>
      <c r="E45" s="278">
        <v>9</v>
      </c>
      <c r="F45" s="278">
        <v>7</v>
      </c>
      <c r="G45" s="266"/>
      <c r="H45" s="278">
        <v>8</v>
      </c>
      <c r="I45" s="278">
        <v>8</v>
      </c>
      <c r="J45" s="278">
        <v>8</v>
      </c>
      <c r="K45" s="279" t="s">
        <v>104</v>
      </c>
      <c r="L45" s="267">
        <v>9</v>
      </c>
      <c r="M45" s="267">
        <v>6</v>
      </c>
      <c r="N45" s="266"/>
      <c r="O45" s="267">
        <v>8</v>
      </c>
      <c r="P45" s="267">
        <v>8</v>
      </c>
      <c r="Q45" s="267">
        <v>8</v>
      </c>
      <c r="R45" s="267">
        <v>9</v>
      </c>
      <c r="S45" s="267">
        <v>9</v>
      </c>
      <c r="T45" s="267">
        <v>6</v>
      </c>
      <c r="U45" s="266"/>
      <c r="V45" s="267">
        <v>8</v>
      </c>
      <c r="W45" s="267">
        <v>8</v>
      </c>
      <c r="X45" s="267">
        <v>8</v>
      </c>
      <c r="Y45" s="267">
        <v>9</v>
      </c>
      <c r="Z45" s="267">
        <v>9</v>
      </c>
      <c r="AA45" s="267">
        <v>6</v>
      </c>
      <c r="AB45" s="266"/>
      <c r="AC45" s="267">
        <v>8</v>
      </c>
      <c r="AD45" s="267">
        <v>8</v>
      </c>
      <c r="AE45" s="267">
        <v>8</v>
      </c>
      <c r="AF45" s="267">
        <v>9</v>
      </c>
      <c r="AG45" s="267">
        <v>9</v>
      </c>
      <c r="AH45" s="267">
        <v>6</v>
      </c>
      <c r="AI45" s="273">
        <f t="shared" si="2"/>
        <v>207</v>
      </c>
      <c r="AJ45" s="176" t="str">
        <f t="shared" si="3"/>
        <v>Faltó</v>
      </c>
      <c r="AK45" s="274"/>
      <c r="AL45" s="176">
        <f t="shared" si="12"/>
        <v>1</v>
      </c>
      <c r="AM45" s="176" t="str">
        <f t="shared" si="14"/>
        <v>SI</v>
      </c>
      <c r="AN45" s="176">
        <f>1875+$AN$3</f>
        <v>2000</v>
      </c>
      <c r="AO45" s="176"/>
      <c r="AP45" s="176">
        <f t="shared" si="7"/>
        <v>2000</v>
      </c>
      <c r="AQ45" s="275">
        <f t="shared" si="11"/>
        <v>74.074074074074076</v>
      </c>
      <c r="AR45" s="176">
        <f t="shared" si="9"/>
        <v>9.2592592592592595</v>
      </c>
      <c r="AS45" s="276">
        <f t="shared" si="10"/>
        <v>1916.6666666666667</v>
      </c>
      <c r="AT45" s="176"/>
      <c r="AU45" s="176"/>
    </row>
    <row r="46" spans="1:47" s="256" customFormat="1" ht="12.9" customHeight="1">
      <c r="A46" s="277">
        <v>40</v>
      </c>
      <c r="B46" s="283" t="s">
        <v>127</v>
      </c>
      <c r="C46" s="300" t="s">
        <v>76</v>
      </c>
      <c r="D46" s="271">
        <v>8</v>
      </c>
      <c r="E46" s="267">
        <v>8</v>
      </c>
      <c r="F46" s="267">
        <v>8</v>
      </c>
      <c r="G46" s="272"/>
      <c r="H46" s="267">
        <v>8</v>
      </c>
      <c r="I46" s="267">
        <v>8</v>
      </c>
      <c r="J46" s="267">
        <v>8</v>
      </c>
      <c r="K46" s="267">
        <v>8</v>
      </c>
      <c r="L46" s="267">
        <v>8</v>
      </c>
      <c r="M46" s="267">
        <v>8</v>
      </c>
      <c r="N46" s="272"/>
      <c r="O46" s="267">
        <v>8</v>
      </c>
      <c r="P46" s="267">
        <v>8</v>
      </c>
      <c r="Q46" s="267">
        <v>8</v>
      </c>
      <c r="R46" s="267">
        <v>8</v>
      </c>
      <c r="S46" s="267">
        <v>8</v>
      </c>
      <c r="T46" s="267">
        <v>8</v>
      </c>
      <c r="U46" s="272"/>
      <c r="V46" s="267">
        <v>8</v>
      </c>
      <c r="W46" s="267">
        <v>8</v>
      </c>
      <c r="X46" s="267">
        <v>8</v>
      </c>
      <c r="Y46" s="267">
        <v>8</v>
      </c>
      <c r="Z46" s="267">
        <v>8</v>
      </c>
      <c r="AA46" s="267">
        <v>8</v>
      </c>
      <c r="AB46" s="266"/>
      <c r="AC46" s="267">
        <v>8</v>
      </c>
      <c r="AD46" s="267">
        <v>8</v>
      </c>
      <c r="AE46" s="267">
        <v>8</v>
      </c>
      <c r="AF46" s="267">
        <v>8</v>
      </c>
      <c r="AG46" s="267">
        <v>8</v>
      </c>
      <c r="AH46" s="267">
        <v>8</v>
      </c>
      <c r="AI46" s="273">
        <f t="shared" si="2"/>
        <v>216</v>
      </c>
      <c r="AJ46" s="176" t="str">
        <f t="shared" si="3"/>
        <v>Faltó</v>
      </c>
      <c r="AK46" s="274"/>
      <c r="AL46" s="176">
        <f t="shared" si="12"/>
        <v>0</v>
      </c>
      <c r="AM46" s="176" t="str">
        <f t="shared" si="14"/>
        <v>SI</v>
      </c>
      <c r="AN46" s="176">
        <f>2065+$AN$3</f>
        <v>2190</v>
      </c>
      <c r="AO46" s="176">
        <v>100</v>
      </c>
      <c r="AP46" s="176">
        <f t="shared" si="7"/>
        <v>2290</v>
      </c>
      <c r="AQ46" s="275">
        <f t="shared" si="11"/>
        <v>84.81481481481481</v>
      </c>
      <c r="AR46" s="176">
        <f t="shared" si="9"/>
        <v>10.601851851851851</v>
      </c>
      <c r="AS46" s="276">
        <f t="shared" si="10"/>
        <v>2290</v>
      </c>
      <c r="AT46" s="176"/>
      <c r="AU46" s="176"/>
    </row>
    <row r="47" spans="1:47" s="256" customFormat="1" ht="12.9" customHeight="1">
      <c r="A47" s="269">
        <v>41</v>
      </c>
      <c r="B47" s="283" t="s">
        <v>127</v>
      </c>
      <c r="C47" s="300" t="s">
        <v>77</v>
      </c>
      <c r="D47" s="271">
        <v>8</v>
      </c>
      <c r="E47" s="267">
        <v>8</v>
      </c>
      <c r="F47" s="267">
        <v>8</v>
      </c>
      <c r="G47" s="272"/>
      <c r="H47" s="267">
        <v>8</v>
      </c>
      <c r="I47" s="267">
        <v>8</v>
      </c>
      <c r="J47" s="267">
        <v>8</v>
      </c>
      <c r="K47" s="267">
        <v>8</v>
      </c>
      <c r="L47" s="267">
        <v>8</v>
      </c>
      <c r="M47" s="267">
        <v>8</v>
      </c>
      <c r="N47" s="272"/>
      <c r="O47" s="267">
        <v>8</v>
      </c>
      <c r="P47" s="267">
        <v>8</v>
      </c>
      <c r="Q47" s="267">
        <v>8</v>
      </c>
      <c r="R47" s="267">
        <v>8</v>
      </c>
      <c r="S47" s="267">
        <v>8</v>
      </c>
      <c r="T47" s="267">
        <v>8</v>
      </c>
      <c r="U47" s="272"/>
      <c r="V47" s="267">
        <v>8</v>
      </c>
      <c r="W47" s="267">
        <v>8</v>
      </c>
      <c r="X47" s="267">
        <v>8</v>
      </c>
      <c r="Y47" s="267">
        <v>8</v>
      </c>
      <c r="Z47" s="267">
        <v>8</v>
      </c>
      <c r="AA47" s="267">
        <v>8</v>
      </c>
      <c r="AB47" s="266"/>
      <c r="AC47" s="267">
        <v>8</v>
      </c>
      <c r="AD47" s="267">
        <v>8</v>
      </c>
      <c r="AE47" s="267">
        <v>8</v>
      </c>
      <c r="AF47" s="267">
        <v>8</v>
      </c>
      <c r="AG47" s="267">
        <v>8</v>
      </c>
      <c r="AH47" s="267">
        <v>8</v>
      </c>
      <c r="AI47" s="273">
        <f t="shared" si="2"/>
        <v>216</v>
      </c>
      <c r="AJ47" s="176" t="str">
        <f t="shared" si="3"/>
        <v>Faltó</v>
      </c>
      <c r="AK47" s="274">
        <f t="shared" ref="AK47:AK54" si="15">SUM(D47:D47)</f>
        <v>8</v>
      </c>
      <c r="AL47" s="176">
        <f t="shared" si="12"/>
        <v>0</v>
      </c>
      <c r="AM47" s="176" t="str">
        <f t="shared" si="14"/>
        <v>SI</v>
      </c>
      <c r="AN47" s="176">
        <f>2025+$AN$3</f>
        <v>2150</v>
      </c>
      <c r="AO47" s="176">
        <v>100</v>
      </c>
      <c r="AP47" s="176">
        <f t="shared" si="7"/>
        <v>2250</v>
      </c>
      <c r="AQ47" s="275">
        <f t="shared" si="11"/>
        <v>83.333333333333329</v>
      </c>
      <c r="AR47" s="176">
        <f t="shared" si="9"/>
        <v>10.416666666666666</v>
      </c>
      <c r="AS47" s="276">
        <v>2250</v>
      </c>
      <c r="AT47" s="176"/>
      <c r="AU47" s="176"/>
    </row>
    <row r="48" spans="1:47" s="256" customFormat="1" ht="12.9" customHeight="1">
      <c r="A48" s="269">
        <v>42</v>
      </c>
      <c r="B48" s="283" t="s">
        <v>126</v>
      </c>
      <c r="C48" s="300" t="s">
        <v>78</v>
      </c>
      <c r="D48" s="271">
        <v>8</v>
      </c>
      <c r="E48" s="267">
        <v>9</v>
      </c>
      <c r="F48" s="267">
        <v>7</v>
      </c>
      <c r="G48" s="272"/>
      <c r="H48" s="267">
        <v>8</v>
      </c>
      <c r="I48" s="267">
        <v>8</v>
      </c>
      <c r="J48" s="267">
        <v>8</v>
      </c>
      <c r="K48" s="267">
        <v>9</v>
      </c>
      <c r="L48" s="267">
        <v>9</v>
      </c>
      <c r="M48" s="267">
        <v>6</v>
      </c>
      <c r="N48" s="272"/>
      <c r="O48" s="267">
        <v>8</v>
      </c>
      <c r="P48" s="267">
        <v>8</v>
      </c>
      <c r="Q48" s="267">
        <v>8</v>
      </c>
      <c r="R48" s="267">
        <v>9</v>
      </c>
      <c r="S48" s="267">
        <v>9</v>
      </c>
      <c r="T48" s="267">
        <v>6</v>
      </c>
      <c r="U48" s="272"/>
      <c r="V48" s="267">
        <v>8</v>
      </c>
      <c r="W48" s="267">
        <v>8</v>
      </c>
      <c r="X48" s="267">
        <v>8</v>
      </c>
      <c r="Y48" s="267">
        <v>9</v>
      </c>
      <c r="Z48" s="267">
        <v>9</v>
      </c>
      <c r="AA48" s="267">
        <v>6</v>
      </c>
      <c r="AB48" s="266"/>
      <c r="AC48" s="267">
        <v>8</v>
      </c>
      <c r="AD48" s="267">
        <v>8</v>
      </c>
      <c r="AE48" s="267">
        <v>8</v>
      </c>
      <c r="AF48" s="267">
        <v>9</v>
      </c>
      <c r="AG48" s="267">
        <v>9</v>
      </c>
      <c r="AH48" s="267">
        <v>6</v>
      </c>
      <c r="AI48" s="273">
        <f t="shared" si="2"/>
        <v>216</v>
      </c>
      <c r="AJ48" s="176" t="str">
        <f t="shared" si="3"/>
        <v>Faltó</v>
      </c>
      <c r="AK48" s="274">
        <f t="shared" si="15"/>
        <v>8</v>
      </c>
      <c r="AL48" s="176">
        <f t="shared" si="12"/>
        <v>0</v>
      </c>
      <c r="AM48" s="176" t="str">
        <f t="shared" si="14"/>
        <v>SI</v>
      </c>
      <c r="AN48" s="176">
        <f>2025+$AN$3</f>
        <v>2150</v>
      </c>
      <c r="AO48" s="176">
        <v>100</v>
      </c>
      <c r="AP48" s="176">
        <f t="shared" si="7"/>
        <v>2250</v>
      </c>
      <c r="AQ48" s="275">
        <f t="shared" si="11"/>
        <v>83.333333333333329</v>
      </c>
      <c r="AR48" s="176">
        <f t="shared" si="9"/>
        <v>10.416666666666666</v>
      </c>
      <c r="AS48" s="276">
        <f t="shared" si="10"/>
        <v>2250</v>
      </c>
      <c r="AT48" s="176"/>
      <c r="AU48" s="176"/>
    </row>
    <row r="49" spans="1:47" s="256" customFormat="1" ht="12.9" customHeight="1">
      <c r="A49" s="277">
        <v>43</v>
      </c>
      <c r="B49" s="283" t="s">
        <v>129</v>
      </c>
      <c r="C49" s="300" t="s">
        <v>79</v>
      </c>
      <c r="D49" s="271">
        <v>8</v>
      </c>
      <c r="E49" s="267">
        <v>9</v>
      </c>
      <c r="F49" s="267">
        <v>7</v>
      </c>
      <c r="G49" s="272"/>
      <c r="H49" s="267">
        <v>8</v>
      </c>
      <c r="I49" s="267">
        <v>8</v>
      </c>
      <c r="J49" s="267">
        <v>8</v>
      </c>
      <c r="K49" s="267">
        <v>9</v>
      </c>
      <c r="L49" s="267">
        <v>9</v>
      </c>
      <c r="M49" s="267">
        <v>6</v>
      </c>
      <c r="N49" s="272"/>
      <c r="O49" s="267">
        <v>8</v>
      </c>
      <c r="P49" s="267">
        <v>8</v>
      </c>
      <c r="Q49" s="267">
        <v>8</v>
      </c>
      <c r="R49" s="267">
        <v>9</v>
      </c>
      <c r="S49" s="267">
        <v>9</v>
      </c>
      <c r="T49" s="267">
        <v>6</v>
      </c>
      <c r="U49" s="272"/>
      <c r="V49" s="267">
        <v>8</v>
      </c>
      <c r="W49" s="267">
        <v>8</v>
      </c>
      <c r="X49" s="267">
        <v>8</v>
      </c>
      <c r="Y49" s="267">
        <v>9</v>
      </c>
      <c r="Z49" s="267">
        <v>9</v>
      </c>
      <c r="AA49" s="267">
        <v>6</v>
      </c>
      <c r="AB49" s="266"/>
      <c r="AC49" s="267">
        <v>8</v>
      </c>
      <c r="AD49" s="267">
        <v>8</v>
      </c>
      <c r="AE49" s="267">
        <v>8</v>
      </c>
      <c r="AF49" s="267">
        <v>9</v>
      </c>
      <c r="AG49" s="267">
        <v>9</v>
      </c>
      <c r="AH49" s="267">
        <v>6</v>
      </c>
      <c r="AI49" s="273">
        <f t="shared" si="2"/>
        <v>216</v>
      </c>
      <c r="AJ49" s="176" t="str">
        <f t="shared" si="3"/>
        <v>Faltó</v>
      </c>
      <c r="AK49" s="274">
        <f t="shared" si="15"/>
        <v>8</v>
      </c>
      <c r="AL49" s="176">
        <f t="shared" si="12"/>
        <v>0</v>
      </c>
      <c r="AM49" s="176" t="str">
        <f t="shared" si="14"/>
        <v>SI</v>
      </c>
      <c r="AN49" s="176">
        <f>2025+$AN$3</f>
        <v>2150</v>
      </c>
      <c r="AO49" s="176">
        <v>100</v>
      </c>
      <c r="AP49" s="176">
        <f t="shared" si="7"/>
        <v>2250</v>
      </c>
      <c r="AQ49" s="275">
        <f t="shared" si="11"/>
        <v>83.333333333333329</v>
      </c>
      <c r="AR49" s="176">
        <f t="shared" si="9"/>
        <v>10.416666666666666</v>
      </c>
      <c r="AS49" s="276">
        <f t="shared" si="10"/>
        <v>2250</v>
      </c>
      <c r="AT49" s="176"/>
      <c r="AU49" s="176"/>
    </row>
    <row r="50" spans="1:47" s="256" customFormat="1" ht="12.9" customHeight="1">
      <c r="A50" s="277">
        <v>44</v>
      </c>
      <c r="B50" s="283" t="s">
        <v>120</v>
      </c>
      <c r="C50" s="302" t="s">
        <v>80</v>
      </c>
      <c r="D50" s="271">
        <v>8</v>
      </c>
      <c r="E50" s="267">
        <v>9</v>
      </c>
      <c r="F50" s="267">
        <v>9</v>
      </c>
      <c r="G50" s="272"/>
      <c r="H50" s="267">
        <v>8</v>
      </c>
      <c r="I50" s="267">
        <v>8</v>
      </c>
      <c r="J50" s="267">
        <v>8</v>
      </c>
      <c r="K50" s="267">
        <v>0</v>
      </c>
      <c r="L50" s="267">
        <v>10</v>
      </c>
      <c r="M50" s="267">
        <v>7</v>
      </c>
      <c r="N50" s="272"/>
      <c r="O50" s="267">
        <v>8</v>
      </c>
      <c r="P50" s="267">
        <v>8</v>
      </c>
      <c r="Q50" s="267">
        <v>8</v>
      </c>
      <c r="R50" s="267">
        <v>9</v>
      </c>
      <c r="S50" s="267">
        <v>9.5</v>
      </c>
      <c r="T50" s="267">
        <v>7</v>
      </c>
      <c r="U50" s="272"/>
      <c r="V50" s="267">
        <v>8</v>
      </c>
      <c r="W50" s="267">
        <v>8.5</v>
      </c>
      <c r="X50" s="267">
        <v>4</v>
      </c>
      <c r="Y50" s="267">
        <v>9.5</v>
      </c>
      <c r="Z50" s="267">
        <v>9.5</v>
      </c>
      <c r="AA50" s="267">
        <v>7</v>
      </c>
      <c r="AB50" s="266"/>
      <c r="AC50" s="267">
        <v>9</v>
      </c>
      <c r="AD50" s="278">
        <v>8</v>
      </c>
      <c r="AE50" s="278">
        <v>8</v>
      </c>
      <c r="AF50" s="267">
        <v>8</v>
      </c>
      <c r="AG50" s="267">
        <v>9</v>
      </c>
      <c r="AH50" s="267">
        <v>11</v>
      </c>
      <c r="AI50" s="273">
        <f t="shared" si="2"/>
        <v>216</v>
      </c>
      <c r="AJ50" s="176" t="str">
        <f t="shared" si="3"/>
        <v>Faltó</v>
      </c>
      <c r="AK50" s="274">
        <f t="shared" si="15"/>
        <v>8</v>
      </c>
      <c r="AL50" s="176">
        <f t="shared" si="12"/>
        <v>0</v>
      </c>
      <c r="AM50" s="176" t="str">
        <f t="shared" si="14"/>
        <v>SI</v>
      </c>
      <c r="AN50" s="176">
        <f>2065+$AN$3</f>
        <v>2190</v>
      </c>
      <c r="AO50" s="176">
        <v>100</v>
      </c>
      <c r="AP50" s="176">
        <f t="shared" si="7"/>
        <v>2290</v>
      </c>
      <c r="AQ50" s="275">
        <f t="shared" si="11"/>
        <v>84.81481481481481</v>
      </c>
      <c r="AR50" s="176">
        <f t="shared" si="9"/>
        <v>10.601851851851851</v>
      </c>
      <c r="AS50" s="276">
        <f t="shared" si="10"/>
        <v>2290</v>
      </c>
      <c r="AT50" s="176"/>
      <c r="AU50" s="176"/>
    </row>
    <row r="51" spans="1:47" s="256" customFormat="1" ht="12.9" customHeight="1">
      <c r="A51" s="277">
        <v>45</v>
      </c>
      <c r="B51" s="283" t="s">
        <v>117</v>
      </c>
      <c r="C51" s="303" t="s">
        <v>81</v>
      </c>
      <c r="D51" s="271">
        <v>8</v>
      </c>
      <c r="E51" s="267">
        <v>9</v>
      </c>
      <c r="F51" s="267">
        <v>7</v>
      </c>
      <c r="G51" s="272"/>
      <c r="H51" s="267">
        <v>8</v>
      </c>
      <c r="I51" s="267">
        <v>8</v>
      </c>
      <c r="J51" s="267">
        <v>8</v>
      </c>
      <c r="K51" s="267">
        <v>9</v>
      </c>
      <c r="L51" s="279" t="s">
        <v>104</v>
      </c>
      <c r="M51" s="279" t="s">
        <v>104</v>
      </c>
      <c r="N51" s="272"/>
      <c r="O51" s="279" t="s">
        <v>104</v>
      </c>
      <c r="P51" s="279" t="s">
        <v>104</v>
      </c>
      <c r="Q51" s="279" t="s">
        <v>104</v>
      </c>
      <c r="R51" s="279" t="s">
        <v>104</v>
      </c>
      <c r="S51" s="279" t="s">
        <v>104</v>
      </c>
      <c r="T51" s="279" t="s">
        <v>104</v>
      </c>
      <c r="U51" s="272"/>
      <c r="V51" s="267">
        <v>8</v>
      </c>
      <c r="W51" s="267">
        <v>8</v>
      </c>
      <c r="X51" s="267">
        <v>8</v>
      </c>
      <c r="Y51" s="267">
        <v>9</v>
      </c>
      <c r="Z51" s="267">
        <v>9</v>
      </c>
      <c r="AA51" s="267">
        <v>6</v>
      </c>
      <c r="AB51" s="266"/>
      <c r="AC51" s="267">
        <v>8</v>
      </c>
      <c r="AD51" s="267">
        <v>8</v>
      </c>
      <c r="AE51" s="267">
        <v>8</v>
      </c>
      <c r="AF51" s="267">
        <v>9</v>
      </c>
      <c r="AG51" s="267">
        <v>9</v>
      </c>
      <c r="AH51" s="267">
        <v>6</v>
      </c>
      <c r="AI51" s="273">
        <f t="shared" si="2"/>
        <v>153</v>
      </c>
      <c r="AJ51" s="176" t="str">
        <f>IF(AI51=208,"A. Perfecta","Faltó")</f>
        <v>Faltó</v>
      </c>
      <c r="AK51" s="274">
        <f t="shared" si="15"/>
        <v>8</v>
      </c>
      <c r="AL51" s="176">
        <f t="shared" si="12"/>
        <v>8</v>
      </c>
      <c r="AM51" s="176" t="str">
        <f t="shared" si="14"/>
        <v>NO CORRESPONDE</v>
      </c>
      <c r="AN51" s="176">
        <f>2023+$AN$3</f>
        <v>2148</v>
      </c>
      <c r="AO51" s="176">
        <v>100</v>
      </c>
      <c r="AP51" s="176">
        <f t="shared" si="7"/>
        <v>2248</v>
      </c>
      <c r="AQ51" s="275">
        <f t="shared" si="11"/>
        <v>83.259259259259252</v>
      </c>
      <c r="AR51" s="176">
        <f t="shared" si="9"/>
        <v>10.407407407407407</v>
      </c>
      <c r="AS51" s="276">
        <f t="shared" si="10"/>
        <v>1592.3333333333333</v>
      </c>
      <c r="AT51" s="176"/>
      <c r="AU51" s="176"/>
    </row>
    <row r="52" spans="1:47" s="256" customFormat="1" ht="12.9" customHeight="1">
      <c r="A52" s="277">
        <v>46</v>
      </c>
      <c r="B52" s="270" t="s">
        <v>120</v>
      </c>
      <c r="C52" s="302" t="s">
        <v>82</v>
      </c>
      <c r="D52" s="271">
        <v>8</v>
      </c>
      <c r="E52" s="267">
        <v>9.5</v>
      </c>
      <c r="F52" s="267">
        <v>7</v>
      </c>
      <c r="G52" s="272"/>
      <c r="H52" s="267">
        <v>8.5</v>
      </c>
      <c r="I52" s="267">
        <v>8.5</v>
      </c>
      <c r="J52" s="267">
        <v>8.5</v>
      </c>
      <c r="K52" s="279" t="s">
        <v>104</v>
      </c>
      <c r="L52" s="267">
        <v>10.5</v>
      </c>
      <c r="M52" s="267">
        <v>7</v>
      </c>
      <c r="N52" s="272"/>
      <c r="O52" s="267">
        <v>8.5</v>
      </c>
      <c r="P52" s="267">
        <v>8.5</v>
      </c>
      <c r="Q52" s="267">
        <v>8.5</v>
      </c>
      <c r="R52" s="267">
        <v>0</v>
      </c>
      <c r="S52" s="267">
        <v>9.5</v>
      </c>
      <c r="T52" s="267">
        <v>6</v>
      </c>
      <c r="U52" s="272"/>
      <c r="V52" s="281"/>
      <c r="W52" s="281"/>
      <c r="X52" s="281"/>
      <c r="Y52" s="281"/>
      <c r="Z52" s="281"/>
      <c r="AA52" s="281"/>
      <c r="AB52" s="266"/>
      <c r="AC52" s="281"/>
      <c r="AD52" s="281"/>
      <c r="AE52" s="281"/>
      <c r="AF52" s="281"/>
      <c r="AG52" s="281"/>
      <c r="AH52" s="281"/>
      <c r="AI52" s="273">
        <f t="shared" si="2"/>
        <v>108.5</v>
      </c>
      <c r="AJ52" s="176" t="str">
        <f>IF(AI52=208,"A. Perfecta","Faltó")</f>
        <v>Faltó</v>
      </c>
      <c r="AK52" s="274">
        <f t="shared" si="15"/>
        <v>8</v>
      </c>
      <c r="AL52" s="176">
        <f t="shared" si="12"/>
        <v>1</v>
      </c>
      <c r="AM52" s="176" t="str">
        <f t="shared" si="14"/>
        <v>SI</v>
      </c>
      <c r="AN52" s="176">
        <f>2065+$AN$3</f>
        <v>2190</v>
      </c>
      <c r="AO52" s="176">
        <v>100</v>
      </c>
      <c r="AP52" s="176">
        <f t="shared" si="7"/>
        <v>2290</v>
      </c>
      <c r="AQ52" s="275">
        <f t="shared" si="11"/>
        <v>84.81481481481481</v>
      </c>
      <c r="AR52" s="176">
        <f t="shared" si="9"/>
        <v>10.601851851851851</v>
      </c>
      <c r="AS52" s="276">
        <f t="shared" si="10"/>
        <v>1150.3009259259259</v>
      </c>
      <c r="AT52" s="176"/>
      <c r="AU52" s="176"/>
    </row>
    <row r="53" spans="1:47" s="256" customFormat="1" ht="12.9" customHeight="1">
      <c r="A53" s="269">
        <v>47</v>
      </c>
      <c r="B53" s="283" t="s">
        <v>117</v>
      </c>
      <c r="C53" s="303" t="s">
        <v>83</v>
      </c>
      <c r="D53" s="271">
        <v>8</v>
      </c>
      <c r="E53" s="267">
        <v>9</v>
      </c>
      <c r="F53" s="267">
        <v>7</v>
      </c>
      <c r="G53" s="272"/>
      <c r="H53" s="267">
        <v>8</v>
      </c>
      <c r="I53" s="267">
        <v>8</v>
      </c>
      <c r="J53" s="267">
        <v>8</v>
      </c>
      <c r="K53" s="267">
        <v>9</v>
      </c>
      <c r="L53" s="280">
        <v>4.5</v>
      </c>
      <c r="M53" s="267">
        <v>6</v>
      </c>
      <c r="N53" s="272"/>
      <c r="O53" s="280">
        <v>4</v>
      </c>
      <c r="P53" s="279" t="s">
        <v>104</v>
      </c>
      <c r="Q53" s="267">
        <v>8</v>
      </c>
      <c r="R53" s="267">
        <v>9</v>
      </c>
      <c r="S53" s="280">
        <v>4.5</v>
      </c>
      <c r="T53" s="280">
        <v>6</v>
      </c>
      <c r="U53" s="272"/>
      <c r="V53" s="267">
        <v>8</v>
      </c>
      <c r="W53" s="267">
        <v>8</v>
      </c>
      <c r="X53" s="267">
        <v>8</v>
      </c>
      <c r="Y53" s="267">
        <v>9</v>
      </c>
      <c r="Z53" s="267">
        <v>9</v>
      </c>
      <c r="AA53" s="267">
        <v>6</v>
      </c>
      <c r="AB53" s="266"/>
      <c r="AC53" s="267">
        <v>8</v>
      </c>
      <c r="AD53" s="267">
        <v>8</v>
      </c>
      <c r="AE53" s="267">
        <v>8</v>
      </c>
      <c r="AF53" s="267">
        <v>9</v>
      </c>
      <c r="AG53" s="267">
        <v>9</v>
      </c>
      <c r="AH53" s="267">
        <v>6</v>
      </c>
      <c r="AI53" s="273">
        <f t="shared" si="2"/>
        <v>195</v>
      </c>
      <c r="AJ53" s="176" t="str">
        <f>IF(AI53=208,"A. Perfecta","Faltó")</f>
        <v>Faltó</v>
      </c>
      <c r="AK53" s="274">
        <f t="shared" si="15"/>
        <v>8</v>
      </c>
      <c r="AL53" s="176">
        <f t="shared" si="12"/>
        <v>1</v>
      </c>
      <c r="AM53" s="176" t="str">
        <f t="shared" si="14"/>
        <v>SI</v>
      </c>
      <c r="AN53" s="176">
        <f>2023+$AN$3</f>
        <v>2148</v>
      </c>
      <c r="AO53" s="176"/>
      <c r="AP53" s="176">
        <f t="shared" si="7"/>
        <v>2148</v>
      </c>
      <c r="AQ53" s="275">
        <f t="shared" si="11"/>
        <v>79.555555555555557</v>
      </c>
      <c r="AR53" s="176">
        <f t="shared" si="9"/>
        <v>9.9444444444444446</v>
      </c>
      <c r="AS53" s="276">
        <f t="shared" si="10"/>
        <v>1939.1666666666667</v>
      </c>
      <c r="AT53" s="176"/>
      <c r="AU53" s="176"/>
    </row>
    <row r="54" spans="1:47" s="256" customFormat="1" ht="12.9" customHeight="1">
      <c r="A54" s="269">
        <v>48</v>
      </c>
      <c r="B54" s="283" t="s">
        <v>117</v>
      </c>
      <c r="C54" s="303" t="s">
        <v>84</v>
      </c>
      <c r="D54" s="271">
        <v>8</v>
      </c>
      <c r="E54" s="286"/>
      <c r="F54" s="286"/>
      <c r="G54" s="272"/>
      <c r="H54" s="267">
        <v>8</v>
      </c>
      <c r="I54" s="267">
        <v>8</v>
      </c>
      <c r="J54" s="267">
        <v>8</v>
      </c>
      <c r="K54" s="267">
        <v>9</v>
      </c>
      <c r="L54" s="267">
        <v>9</v>
      </c>
      <c r="M54" s="267">
        <v>6</v>
      </c>
      <c r="N54" s="272"/>
      <c r="O54" s="267">
        <v>8</v>
      </c>
      <c r="P54" s="267">
        <v>8</v>
      </c>
      <c r="Q54" s="267">
        <v>8</v>
      </c>
      <c r="R54" s="267">
        <v>9</v>
      </c>
      <c r="S54" s="267">
        <v>9</v>
      </c>
      <c r="T54" s="267">
        <v>6</v>
      </c>
      <c r="U54" s="272"/>
      <c r="V54" s="267">
        <v>8</v>
      </c>
      <c r="W54" s="267">
        <v>8</v>
      </c>
      <c r="X54" s="267">
        <v>8</v>
      </c>
      <c r="Y54" s="267">
        <v>9</v>
      </c>
      <c r="Z54" s="267">
        <v>9</v>
      </c>
      <c r="AA54" s="267">
        <v>6</v>
      </c>
      <c r="AB54" s="266"/>
      <c r="AC54" s="267">
        <v>8</v>
      </c>
      <c r="AD54" s="267">
        <v>8</v>
      </c>
      <c r="AE54" s="267">
        <v>8</v>
      </c>
      <c r="AF54" s="267">
        <v>9</v>
      </c>
      <c r="AG54" s="267">
        <v>9</v>
      </c>
      <c r="AH54" s="267">
        <v>6</v>
      </c>
      <c r="AI54" s="273">
        <f t="shared" si="2"/>
        <v>200</v>
      </c>
      <c r="AJ54" s="176" t="str">
        <f>IF(AI54=208,"A. Perfecta","Faltó")</f>
        <v>Faltó</v>
      </c>
      <c r="AK54" s="274">
        <f t="shared" si="15"/>
        <v>8</v>
      </c>
      <c r="AL54" s="176">
        <f t="shared" si="12"/>
        <v>0</v>
      </c>
      <c r="AM54" s="176" t="str">
        <f t="shared" si="14"/>
        <v>SI</v>
      </c>
      <c r="AN54" s="176">
        <f>2023+$AN$3</f>
        <v>2148</v>
      </c>
      <c r="AO54" s="176"/>
      <c r="AP54" s="176">
        <f t="shared" si="7"/>
        <v>2148</v>
      </c>
      <c r="AQ54" s="275">
        <f t="shared" si="11"/>
        <v>79.555555555555557</v>
      </c>
      <c r="AR54" s="176">
        <f>AQ54/8</f>
        <v>9.9444444444444446</v>
      </c>
      <c r="AS54" s="276">
        <f t="shared" si="10"/>
        <v>1988.8888888888889</v>
      </c>
      <c r="AT54" s="176"/>
      <c r="AU54" s="287"/>
    </row>
    <row r="55" spans="1:47" s="288" customFormat="1" ht="12.9" customHeight="1">
      <c r="D55" s="288">
        <f>SUM(D7:D54)</f>
        <v>384</v>
      </c>
      <c r="E55" s="288">
        <f t="shared" ref="E55:I55" si="16">SUM(E7:E54)</f>
        <v>402</v>
      </c>
      <c r="F55" s="288">
        <f t="shared" si="16"/>
        <v>329</v>
      </c>
      <c r="G55" s="288">
        <f t="shared" si="16"/>
        <v>0</v>
      </c>
      <c r="H55" s="288">
        <f t="shared" si="16"/>
        <v>378</v>
      </c>
      <c r="I55" s="288">
        <f t="shared" si="16"/>
        <v>370</v>
      </c>
      <c r="J55" s="288">
        <f>SUM(J7:J54)</f>
        <v>358</v>
      </c>
      <c r="K55" s="288">
        <f>SUM(K7:K54)</f>
        <v>388.5</v>
      </c>
      <c r="L55" s="288">
        <f t="shared" ref="L55:P55" si="17">SUM(L7:L54)</f>
        <v>408</v>
      </c>
      <c r="M55" s="288">
        <f t="shared" si="17"/>
        <v>290</v>
      </c>
      <c r="N55" s="288">
        <f t="shared" si="17"/>
        <v>0</v>
      </c>
      <c r="O55" s="288">
        <f t="shared" si="17"/>
        <v>366</v>
      </c>
      <c r="P55" s="288">
        <f t="shared" si="17"/>
        <v>362</v>
      </c>
      <c r="Q55" s="288">
        <f>SUM(Q7:Q54)</f>
        <v>372</v>
      </c>
      <c r="R55" s="288">
        <f>SUM(R7:R54)</f>
        <v>391.5</v>
      </c>
      <c r="S55" s="288">
        <f>SUM(S7:S54)</f>
        <v>407.5</v>
      </c>
      <c r="T55" s="288">
        <f>SUM(T7:T54)</f>
        <v>284</v>
      </c>
      <c r="V55" s="288">
        <f t="shared" ref="V55" si="18">SUM(V7:V54)</f>
        <v>338</v>
      </c>
      <c r="W55" s="288">
        <f>SUM(W7:W54)</f>
        <v>363.5</v>
      </c>
      <c r="X55" s="288">
        <f>SUM(X7:X54)</f>
        <v>359</v>
      </c>
      <c r="Y55" s="288">
        <f>SUM(Y7:Y54)</f>
        <v>385</v>
      </c>
      <c r="Z55" s="288">
        <f t="shared" ref="Z55:AD55" si="19">SUM(Z7:Z54)</f>
        <v>393</v>
      </c>
      <c r="AA55" s="288">
        <f t="shared" si="19"/>
        <v>254</v>
      </c>
      <c r="AB55" s="288">
        <f t="shared" si="19"/>
        <v>0</v>
      </c>
      <c r="AC55" s="288">
        <f>SUM(AC7:AC54)</f>
        <v>332.5</v>
      </c>
      <c r="AD55" s="288">
        <f t="shared" si="19"/>
        <v>355</v>
      </c>
      <c r="AE55" s="288">
        <f>SUM(AE7:AE54)</f>
        <v>360</v>
      </c>
      <c r="AF55" s="288">
        <f>SUM(AF7:AF54)</f>
        <v>394</v>
      </c>
      <c r="AG55" s="288">
        <f t="shared" ref="AG55" si="20">SUM(AG7:AG54)</f>
        <v>391</v>
      </c>
      <c r="AH55" s="288">
        <f>SUM(AH7:AH54)</f>
        <v>287</v>
      </c>
      <c r="AI55" s="289">
        <f>SUM(AI7:AI54)</f>
        <v>9702.5</v>
      </c>
      <c r="AJ55" s="274"/>
      <c r="AK55" s="274"/>
      <c r="AL55" s="274"/>
      <c r="AM55" s="274"/>
      <c r="AN55" s="274">
        <f t="shared" ref="AN55:AT55" si="21">SUM(AN7:AN54)</f>
        <v>103549</v>
      </c>
      <c r="AO55" s="274">
        <f t="shared" si="21"/>
        <v>3300</v>
      </c>
      <c r="AP55" s="274">
        <f t="shared" si="21"/>
        <v>106849</v>
      </c>
      <c r="AQ55" s="274">
        <f t="shared" si="21"/>
        <v>3957.3703703703718</v>
      </c>
      <c r="AR55" s="274">
        <f t="shared" si="21"/>
        <v>494.67129629629648</v>
      </c>
      <c r="AS55" s="274">
        <f t="shared" si="21"/>
        <v>100547.18981481482</v>
      </c>
      <c r="AT55" s="274">
        <f t="shared" si="21"/>
        <v>0</v>
      </c>
      <c r="AU55" s="287"/>
    </row>
    <row r="56" spans="1:47" ht="12.9" customHeight="1" thickBot="1">
      <c r="D56" s="290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2"/>
      <c r="U56" s="292"/>
      <c r="V56" s="292"/>
      <c r="W56" s="292"/>
      <c r="X56" s="292"/>
      <c r="Y56" s="292"/>
      <c r="AI56" s="290"/>
      <c r="AS56" s="276"/>
    </row>
    <row r="57" spans="1:47" ht="12.9" customHeight="1">
      <c r="A57" s="246" t="s">
        <v>6</v>
      </c>
      <c r="B57" s="257" t="s">
        <v>107</v>
      </c>
      <c r="C57" s="248" t="s">
        <v>7</v>
      </c>
      <c r="D57" s="266" t="s">
        <v>108</v>
      </c>
      <c r="E57" s="267" t="s">
        <v>109</v>
      </c>
      <c r="F57" s="267" t="s">
        <v>110</v>
      </c>
      <c r="G57" s="266" t="s">
        <v>111</v>
      </c>
      <c r="H57" s="267" t="s">
        <v>112</v>
      </c>
      <c r="I57" s="267" t="s">
        <v>113</v>
      </c>
      <c r="J57" s="267" t="s">
        <v>113</v>
      </c>
      <c r="K57" s="267" t="s">
        <v>108</v>
      </c>
      <c r="L57" s="267" t="s">
        <v>109</v>
      </c>
      <c r="M57" s="267" t="s">
        <v>110</v>
      </c>
      <c r="N57" s="266" t="s">
        <v>111</v>
      </c>
      <c r="O57" s="267" t="s">
        <v>112</v>
      </c>
      <c r="P57" s="267" t="s">
        <v>113</v>
      </c>
      <c r="Q57" s="267" t="s">
        <v>113</v>
      </c>
      <c r="R57" s="267" t="s">
        <v>108</v>
      </c>
      <c r="S57" s="267" t="s">
        <v>109</v>
      </c>
      <c r="T57" s="267" t="s">
        <v>110</v>
      </c>
      <c r="U57" s="266" t="s">
        <v>111</v>
      </c>
      <c r="V57" s="267" t="s">
        <v>112</v>
      </c>
      <c r="W57" s="267" t="s">
        <v>113</v>
      </c>
      <c r="X57" s="267" t="s">
        <v>113</v>
      </c>
      <c r="Y57" s="267" t="s">
        <v>108</v>
      </c>
      <c r="Z57" s="267" t="s">
        <v>109</v>
      </c>
      <c r="AA57" s="267" t="s">
        <v>110</v>
      </c>
      <c r="AB57" s="266" t="s">
        <v>111</v>
      </c>
      <c r="AC57" s="267" t="s">
        <v>112</v>
      </c>
      <c r="AD57" s="267" t="s">
        <v>113</v>
      </c>
      <c r="AE57" s="267" t="s">
        <v>113</v>
      </c>
      <c r="AF57" s="267" t="s">
        <v>108</v>
      </c>
      <c r="AG57" s="267" t="s">
        <v>109</v>
      </c>
      <c r="AH57" s="267" t="s">
        <v>110</v>
      </c>
      <c r="AI57" s="180" t="s">
        <v>0</v>
      </c>
    </row>
    <row r="58" spans="1:47" ht="12.9" customHeight="1" thickBot="1">
      <c r="A58" s="247"/>
      <c r="B58" s="257"/>
      <c r="C58" s="248"/>
      <c r="D58" s="266">
        <v>1</v>
      </c>
      <c r="E58" s="267">
        <v>2</v>
      </c>
      <c r="F58" s="267">
        <v>3</v>
      </c>
      <c r="G58" s="266">
        <v>4</v>
      </c>
      <c r="H58" s="267">
        <v>5</v>
      </c>
      <c r="I58" s="267">
        <v>6</v>
      </c>
      <c r="J58" s="267">
        <v>7</v>
      </c>
      <c r="K58" s="267">
        <v>8</v>
      </c>
      <c r="L58" s="267">
        <v>9</v>
      </c>
      <c r="M58" s="267">
        <v>10</v>
      </c>
      <c r="N58" s="266">
        <v>11</v>
      </c>
      <c r="O58" s="267">
        <v>12</v>
      </c>
      <c r="P58" s="267">
        <v>13</v>
      </c>
      <c r="Q58" s="267">
        <v>14</v>
      </c>
      <c r="R58" s="267">
        <v>15</v>
      </c>
      <c r="S58" s="267">
        <v>16</v>
      </c>
      <c r="T58" s="267">
        <v>17</v>
      </c>
      <c r="U58" s="266">
        <v>18</v>
      </c>
      <c r="V58" s="267">
        <v>19</v>
      </c>
      <c r="W58" s="267">
        <v>20</v>
      </c>
      <c r="X58" s="267">
        <v>21</v>
      </c>
      <c r="Y58" s="267">
        <v>22</v>
      </c>
      <c r="Z58" s="267">
        <v>23</v>
      </c>
      <c r="AA58" s="267">
        <v>24</v>
      </c>
      <c r="AB58" s="266">
        <v>25</v>
      </c>
      <c r="AC58" s="267">
        <v>26</v>
      </c>
      <c r="AD58" s="267">
        <v>27</v>
      </c>
      <c r="AE58" s="267">
        <v>28</v>
      </c>
      <c r="AF58" s="267">
        <v>29</v>
      </c>
      <c r="AG58" s="267">
        <v>30</v>
      </c>
      <c r="AH58" s="267">
        <v>31</v>
      </c>
      <c r="AI58" s="180" t="s">
        <v>130</v>
      </c>
      <c r="AS58" s="274">
        <f>+AS55-3600</f>
        <v>96947.189814814818</v>
      </c>
    </row>
    <row r="59" spans="1:47" ht="12.9" customHeight="1">
      <c r="A59" s="258">
        <v>1</v>
      </c>
      <c r="B59" s="293">
        <f>VLOOKUP(C59,PROYECTADA!$Y$7:$AD$54,6,0)</f>
        <v>12.954054783950619</v>
      </c>
      <c r="C59" s="300" t="str">
        <f t="shared" ref="C59:C106" si="22">C7</f>
        <v>Apaza Tito Patricia</v>
      </c>
      <c r="D59" s="294">
        <f>IF(D7="F",0,+$B59*D7)</f>
        <v>103.63243827160495</v>
      </c>
      <c r="E59" s="294">
        <f t="shared" ref="E59:F59" si="23">IF(E7="F",0,+$B59*E7)</f>
        <v>116.58649305555558</v>
      </c>
      <c r="F59" s="294">
        <f t="shared" si="23"/>
        <v>90.67838348765433</v>
      </c>
      <c r="G59" s="295"/>
      <c r="H59" s="294">
        <f>IF(H7="F",0,+$B59*H7)</f>
        <v>103.63243827160495</v>
      </c>
      <c r="I59" s="294">
        <f t="shared" ref="I59:M59" si="24">IF(I7="F",0,+$B59*I7)</f>
        <v>103.63243827160495</v>
      </c>
      <c r="J59" s="294">
        <f t="shared" si="24"/>
        <v>103.63243827160495</v>
      </c>
      <c r="K59" s="294">
        <f t="shared" si="24"/>
        <v>116.58649305555558</v>
      </c>
      <c r="L59" s="294">
        <f t="shared" si="24"/>
        <v>116.58649305555558</v>
      </c>
      <c r="M59" s="294">
        <f t="shared" si="24"/>
        <v>77.724328703703719</v>
      </c>
      <c r="N59" s="295"/>
      <c r="O59" s="294">
        <f>IF(O7="F",0,+$B59*O7)</f>
        <v>103.63243827160495</v>
      </c>
      <c r="P59" s="294">
        <f t="shared" ref="P59:R59" si="25">IF(P7="F",0,+$B59*P7)</f>
        <v>103.63243827160495</v>
      </c>
      <c r="Q59" s="294">
        <f t="shared" si="25"/>
        <v>103.63243827160495</v>
      </c>
      <c r="R59" s="294">
        <f t="shared" si="25"/>
        <v>116.58649305555558</v>
      </c>
      <c r="S59" s="294">
        <f>IF(S7="F",0,+$B59*S7)</f>
        <v>116.58649305555558</v>
      </c>
      <c r="T59" s="294">
        <f>IF(T7="F",0,+$B59*T7)</f>
        <v>77.724328703703719</v>
      </c>
      <c r="U59" s="295">
        <f t="shared" ref="U59:AA74" si="26">IF(U7="F",0,+$B59*U7)</f>
        <v>0</v>
      </c>
      <c r="V59" s="294">
        <f>IF(V7="F",0,+$B59*V7)</f>
        <v>103.63243827160495</v>
      </c>
      <c r="W59" s="294">
        <f t="shared" ref="W59:AA59" si="27">IF(W7="F",0,+$B59*W7)</f>
        <v>103.63243827160495</v>
      </c>
      <c r="X59" s="294">
        <f t="shared" si="27"/>
        <v>103.63243827160495</v>
      </c>
      <c r="Y59" s="294">
        <f t="shared" si="27"/>
        <v>116.58649305555558</v>
      </c>
      <c r="Z59" s="294">
        <f t="shared" si="27"/>
        <v>116.58649305555558</v>
      </c>
      <c r="AA59" s="294">
        <f t="shared" si="27"/>
        <v>77.724328703703719</v>
      </c>
      <c r="AB59" s="295"/>
      <c r="AC59" s="294">
        <f>IF(AC7="F",0,+$B59*AC7)</f>
        <v>103.63243827160495</v>
      </c>
      <c r="AD59" s="294">
        <f t="shared" ref="AD59:AH59" si="28">IF(AD7="F",0,+$B59*AD7)</f>
        <v>103.63243827160495</v>
      </c>
      <c r="AE59" s="294">
        <f t="shared" si="28"/>
        <v>103.63243827160495</v>
      </c>
      <c r="AF59" s="294">
        <f t="shared" si="28"/>
        <v>116.58649305555558</v>
      </c>
      <c r="AG59" s="294">
        <f t="shared" si="28"/>
        <v>116.58649305555558</v>
      </c>
      <c r="AH59" s="294">
        <f t="shared" si="28"/>
        <v>77.724328703703719</v>
      </c>
      <c r="AI59" s="296">
        <f t="shared" ref="AI59:AI106" si="29">SUM(D59:AH59)</f>
        <v>2798.0758333333329</v>
      </c>
      <c r="AO59" s="176">
        <v>100143.860806372</v>
      </c>
      <c r="AQ59" s="274">
        <v>105662.95802859415</v>
      </c>
    </row>
    <row r="60" spans="1:47" ht="12.9" customHeight="1">
      <c r="A60" s="258">
        <v>2</v>
      </c>
      <c r="B60" s="293">
        <f>VLOOKUP(C60,PROYECTADA!$Y$7:$AD$54,6,0)</f>
        <v>10.401248070987654</v>
      </c>
      <c r="C60" s="300" t="str">
        <f t="shared" si="22"/>
        <v>Aquino Gómez Basilia Isabel</v>
      </c>
      <c r="D60" s="294">
        <f t="shared" ref="D60:F75" si="30">IF(D8="F",0,+$B60*D8)</f>
        <v>83.20998456790123</v>
      </c>
      <c r="E60" s="294">
        <f t="shared" si="30"/>
        <v>93.611232638888879</v>
      </c>
      <c r="F60" s="294">
        <f t="shared" si="30"/>
        <v>72.808736496913582</v>
      </c>
      <c r="G60" s="295"/>
      <c r="H60" s="294">
        <f t="shared" ref="H60:M75" si="31">IF(H8="F",0,+$B60*H8)</f>
        <v>83.20998456790123</v>
      </c>
      <c r="I60" s="294">
        <f t="shared" si="31"/>
        <v>83.20998456790123</v>
      </c>
      <c r="J60" s="294">
        <f t="shared" si="31"/>
        <v>83.20998456790123</v>
      </c>
      <c r="K60" s="294">
        <f t="shared" si="31"/>
        <v>93.611232638888879</v>
      </c>
      <c r="L60" s="294">
        <f t="shared" si="31"/>
        <v>93.611232638888879</v>
      </c>
      <c r="M60" s="294">
        <f t="shared" si="31"/>
        <v>62.407488425925919</v>
      </c>
      <c r="N60" s="295"/>
      <c r="O60" s="294">
        <f t="shared" ref="O60:AA75" si="32">IF(O8="F",0,+$B60*O8)</f>
        <v>83.20998456790123</v>
      </c>
      <c r="P60" s="294">
        <f t="shared" si="32"/>
        <v>83.20998456790123</v>
      </c>
      <c r="Q60" s="294">
        <f t="shared" si="32"/>
        <v>83.20998456790123</v>
      </c>
      <c r="R60" s="294">
        <f t="shared" si="32"/>
        <v>93.611232638888879</v>
      </c>
      <c r="S60" s="294">
        <f t="shared" si="32"/>
        <v>93.611232638888879</v>
      </c>
      <c r="T60" s="294">
        <f t="shared" si="32"/>
        <v>62.407488425925919</v>
      </c>
      <c r="U60" s="295">
        <f t="shared" si="26"/>
        <v>0</v>
      </c>
      <c r="V60" s="294">
        <f t="shared" si="26"/>
        <v>83.20998456790123</v>
      </c>
      <c r="W60" s="294">
        <f t="shared" si="26"/>
        <v>83.20998456790123</v>
      </c>
      <c r="X60" s="294">
        <f t="shared" si="26"/>
        <v>83.20998456790123</v>
      </c>
      <c r="Y60" s="294">
        <f t="shared" si="26"/>
        <v>93.611232638888879</v>
      </c>
      <c r="Z60" s="294">
        <f t="shared" si="26"/>
        <v>93.611232638888879</v>
      </c>
      <c r="AA60" s="294">
        <f t="shared" si="26"/>
        <v>62.407488425925919</v>
      </c>
      <c r="AB60" s="295"/>
      <c r="AC60" s="294">
        <f t="shared" ref="AC60:AH75" si="33">IF(AC8="F",0,+$B60*AC8)</f>
        <v>83.20998456790123</v>
      </c>
      <c r="AD60" s="294">
        <f t="shared" si="33"/>
        <v>83.20998456790123</v>
      </c>
      <c r="AE60" s="294">
        <f t="shared" si="33"/>
        <v>83.20998456790123</v>
      </c>
      <c r="AF60" s="294">
        <f t="shared" si="33"/>
        <v>93.611232638888879</v>
      </c>
      <c r="AG60" s="294">
        <f t="shared" si="33"/>
        <v>93.611232638888879</v>
      </c>
      <c r="AH60" s="294">
        <f t="shared" si="33"/>
        <v>62.407488425925919</v>
      </c>
      <c r="AI60" s="296">
        <f t="shared" si="29"/>
        <v>2246.6695833333333</v>
      </c>
      <c r="AQ60" s="274"/>
      <c r="AR60" s="274"/>
      <c r="AS60" s="274"/>
      <c r="AT60" s="274"/>
    </row>
    <row r="61" spans="1:47" ht="12.9" customHeight="1">
      <c r="A61" s="258">
        <v>3</v>
      </c>
      <c r="B61" s="293">
        <f>VLOOKUP(C61,PROYECTADA!$Y$7:$AD$54,6,0)</f>
        <v>10.401248070987654</v>
      </c>
      <c r="C61" s="300" t="str">
        <f t="shared" si="22"/>
        <v>Calla G Guillermina</v>
      </c>
      <c r="D61" s="294">
        <f t="shared" si="30"/>
        <v>83.20998456790123</v>
      </c>
      <c r="E61" s="294">
        <f t="shared" si="30"/>
        <v>93.611232638888879</v>
      </c>
      <c r="F61" s="294">
        <f t="shared" si="30"/>
        <v>72.808736496913582</v>
      </c>
      <c r="G61" s="295"/>
      <c r="H61" s="294">
        <f t="shared" si="31"/>
        <v>83.20998456790123</v>
      </c>
      <c r="I61" s="294">
        <f t="shared" si="31"/>
        <v>83.20998456790123</v>
      </c>
      <c r="J61" s="294">
        <f t="shared" si="31"/>
        <v>83.20998456790123</v>
      </c>
      <c r="K61" s="294">
        <f t="shared" si="31"/>
        <v>93.611232638888879</v>
      </c>
      <c r="L61" s="294">
        <f t="shared" si="31"/>
        <v>93.611232638888879</v>
      </c>
      <c r="M61" s="294">
        <f t="shared" si="31"/>
        <v>62.407488425925919</v>
      </c>
      <c r="N61" s="295"/>
      <c r="O61" s="294">
        <f t="shared" si="32"/>
        <v>83.20998456790123</v>
      </c>
      <c r="P61" s="294">
        <f t="shared" si="32"/>
        <v>83.20998456790123</v>
      </c>
      <c r="Q61" s="294">
        <f t="shared" si="32"/>
        <v>83.20998456790123</v>
      </c>
      <c r="R61" s="294">
        <f t="shared" si="32"/>
        <v>93.611232638888879</v>
      </c>
      <c r="S61" s="294">
        <f t="shared" si="32"/>
        <v>93.611232638888879</v>
      </c>
      <c r="T61" s="294">
        <f t="shared" si="32"/>
        <v>62.407488425925919</v>
      </c>
      <c r="U61" s="295">
        <f t="shared" si="26"/>
        <v>0</v>
      </c>
      <c r="V61" s="294">
        <f t="shared" si="26"/>
        <v>83.20998456790123</v>
      </c>
      <c r="W61" s="294">
        <f t="shared" si="26"/>
        <v>83.20998456790123</v>
      </c>
      <c r="X61" s="294">
        <f t="shared" si="26"/>
        <v>83.20998456790123</v>
      </c>
      <c r="Y61" s="294">
        <f t="shared" si="26"/>
        <v>93.611232638888879</v>
      </c>
      <c r="Z61" s="294">
        <f t="shared" si="26"/>
        <v>93.611232638888879</v>
      </c>
      <c r="AA61" s="294">
        <f t="shared" si="26"/>
        <v>62.407488425925919</v>
      </c>
      <c r="AB61" s="295"/>
      <c r="AC61" s="294">
        <f t="shared" si="33"/>
        <v>83.20998456790123</v>
      </c>
      <c r="AD61" s="294">
        <f t="shared" si="33"/>
        <v>83.20998456790123</v>
      </c>
      <c r="AE61" s="294">
        <f t="shared" si="33"/>
        <v>83.20998456790123</v>
      </c>
      <c r="AF61" s="294">
        <f t="shared" si="33"/>
        <v>93.611232638888879</v>
      </c>
      <c r="AG61" s="294">
        <f t="shared" si="33"/>
        <v>93.611232638888879</v>
      </c>
      <c r="AH61" s="294">
        <f t="shared" si="33"/>
        <v>62.407488425925919</v>
      </c>
      <c r="AI61" s="296">
        <f t="shared" si="29"/>
        <v>2246.6695833333333</v>
      </c>
      <c r="AQ61" s="274">
        <f>+AQ59-AO59</f>
        <v>5519.0972222221462</v>
      </c>
      <c r="AR61" s="274"/>
      <c r="AS61" s="274"/>
      <c r="AT61" s="274"/>
      <c r="AU61" s="274"/>
    </row>
    <row r="62" spans="1:47" ht="12.9" customHeight="1">
      <c r="A62" s="259">
        <v>4</v>
      </c>
      <c r="B62" s="293">
        <f>VLOOKUP(C62,PROYECTADA!$Y$7:$AD$54,6,0)</f>
        <v>10.309888966049384</v>
      </c>
      <c r="C62" s="300" t="str">
        <f t="shared" si="22"/>
        <v>Challco Laime, Gilberta</v>
      </c>
      <c r="D62" s="294">
        <f t="shared" si="30"/>
        <v>82.479111728395068</v>
      </c>
      <c r="E62" s="294">
        <f t="shared" si="30"/>
        <v>92.789000694444454</v>
      </c>
      <c r="F62" s="294">
        <f t="shared" si="30"/>
        <v>72.169222762345683</v>
      </c>
      <c r="G62" s="295"/>
      <c r="H62" s="294">
        <f t="shared" si="31"/>
        <v>82.479111728395068</v>
      </c>
      <c r="I62" s="294">
        <f t="shared" si="31"/>
        <v>82.479111728395068</v>
      </c>
      <c r="J62" s="294">
        <f t="shared" si="31"/>
        <v>82.479111728395068</v>
      </c>
      <c r="K62" s="294">
        <f t="shared" si="31"/>
        <v>92.789000694444454</v>
      </c>
      <c r="L62" s="294">
        <f t="shared" si="31"/>
        <v>92.789000694444454</v>
      </c>
      <c r="M62" s="294">
        <f t="shared" si="31"/>
        <v>61.859333796296298</v>
      </c>
      <c r="N62" s="295"/>
      <c r="O62" s="294">
        <f t="shared" si="32"/>
        <v>82.479111728395068</v>
      </c>
      <c r="P62" s="294">
        <f t="shared" si="32"/>
        <v>82.479111728395068</v>
      </c>
      <c r="Q62" s="294">
        <f t="shared" si="32"/>
        <v>82.479111728395068</v>
      </c>
      <c r="R62" s="294">
        <f t="shared" si="32"/>
        <v>92.789000694444454</v>
      </c>
      <c r="S62" s="294">
        <f t="shared" si="32"/>
        <v>92.789000694444454</v>
      </c>
      <c r="T62" s="294">
        <f t="shared" si="32"/>
        <v>61.859333796296298</v>
      </c>
      <c r="U62" s="295">
        <f t="shared" si="26"/>
        <v>0</v>
      </c>
      <c r="V62" s="294">
        <f t="shared" si="26"/>
        <v>82.479111728395068</v>
      </c>
      <c r="W62" s="294">
        <f t="shared" si="26"/>
        <v>82.479111728395068</v>
      </c>
      <c r="X62" s="294">
        <f t="shared" si="26"/>
        <v>82.479111728395068</v>
      </c>
      <c r="Y62" s="294">
        <f t="shared" si="26"/>
        <v>92.789000694444454</v>
      </c>
      <c r="Z62" s="294">
        <f t="shared" si="26"/>
        <v>92.789000694444454</v>
      </c>
      <c r="AA62" s="294">
        <f t="shared" si="26"/>
        <v>61.859333796296298</v>
      </c>
      <c r="AB62" s="295"/>
      <c r="AC62" s="294">
        <f t="shared" si="33"/>
        <v>0</v>
      </c>
      <c r="AD62" s="294">
        <f t="shared" si="33"/>
        <v>82.479111728395068</v>
      </c>
      <c r="AE62" s="294">
        <f t="shared" si="33"/>
        <v>82.479111728395068</v>
      </c>
      <c r="AF62" s="294">
        <f t="shared" si="33"/>
        <v>92.789000694444454</v>
      </c>
      <c r="AG62" s="294">
        <f t="shared" si="33"/>
        <v>92.789000694444454</v>
      </c>
      <c r="AH62" s="294">
        <f t="shared" si="33"/>
        <v>61.859333796296298</v>
      </c>
      <c r="AI62" s="296">
        <f t="shared" si="29"/>
        <v>2144.4569049382721</v>
      </c>
    </row>
    <row r="63" spans="1:47" ht="12.9" customHeight="1">
      <c r="A63" s="259">
        <v>5</v>
      </c>
      <c r="B63" s="293">
        <f>VLOOKUP(C63,PROYECTADA!$Y$7:$AD$54,6,0)</f>
        <v>10.411562808641978</v>
      </c>
      <c r="C63" s="300" t="str">
        <f t="shared" si="22"/>
        <v>Choquehuayta Huallpa, Estefania</v>
      </c>
      <c r="D63" s="294">
        <f t="shared" si="30"/>
        <v>83.292502469135826</v>
      </c>
      <c r="E63" s="294">
        <f t="shared" si="30"/>
        <v>93.704065277777801</v>
      </c>
      <c r="F63" s="294">
        <f t="shared" si="30"/>
        <v>72.880939660493851</v>
      </c>
      <c r="G63" s="295"/>
      <c r="H63" s="294">
        <f t="shared" si="31"/>
        <v>83.292502469135826</v>
      </c>
      <c r="I63" s="294">
        <f t="shared" si="31"/>
        <v>83.292502469135826</v>
      </c>
      <c r="J63" s="294">
        <f t="shared" si="31"/>
        <v>83.292502469135826</v>
      </c>
      <c r="K63" s="294">
        <f t="shared" si="31"/>
        <v>93.704065277777801</v>
      </c>
      <c r="L63" s="294">
        <f t="shared" si="31"/>
        <v>93.704065277777801</v>
      </c>
      <c r="M63" s="294">
        <f t="shared" si="31"/>
        <v>62.46937685185187</v>
      </c>
      <c r="N63" s="295"/>
      <c r="O63" s="294">
        <f t="shared" si="32"/>
        <v>83.292502469135826</v>
      </c>
      <c r="P63" s="294">
        <f t="shared" si="32"/>
        <v>83.292502469135826</v>
      </c>
      <c r="Q63" s="294">
        <f t="shared" si="32"/>
        <v>83.292502469135826</v>
      </c>
      <c r="R63" s="294">
        <f t="shared" si="32"/>
        <v>93.704065277777801</v>
      </c>
      <c r="S63" s="294">
        <f t="shared" si="32"/>
        <v>93.704065277777801</v>
      </c>
      <c r="T63" s="294">
        <f t="shared" si="32"/>
        <v>62.46937685185187</v>
      </c>
      <c r="U63" s="295">
        <f t="shared" si="26"/>
        <v>0</v>
      </c>
      <c r="V63" s="294">
        <f t="shared" si="26"/>
        <v>83.292502469135826</v>
      </c>
      <c r="W63" s="294">
        <f t="shared" si="26"/>
        <v>83.292502469135826</v>
      </c>
      <c r="X63" s="294">
        <f t="shared" si="26"/>
        <v>83.292502469135826</v>
      </c>
      <c r="Y63" s="294">
        <f t="shared" si="26"/>
        <v>93.704065277777801</v>
      </c>
      <c r="Z63" s="294">
        <f t="shared" si="26"/>
        <v>93.704065277777801</v>
      </c>
      <c r="AA63" s="294">
        <f t="shared" si="26"/>
        <v>0</v>
      </c>
      <c r="AB63" s="295"/>
      <c r="AC63" s="294">
        <f t="shared" si="33"/>
        <v>83.292502469135826</v>
      </c>
      <c r="AD63" s="294">
        <f t="shared" si="33"/>
        <v>83.292502469135826</v>
      </c>
      <c r="AE63" s="294">
        <f t="shared" si="33"/>
        <v>83.292502469135826</v>
      </c>
      <c r="AF63" s="294">
        <f t="shared" si="33"/>
        <v>93.704065277777801</v>
      </c>
      <c r="AG63" s="294">
        <f t="shared" si="33"/>
        <v>93.704065277777801</v>
      </c>
      <c r="AH63" s="294">
        <f t="shared" si="33"/>
        <v>62.46937685185187</v>
      </c>
      <c r="AI63" s="296">
        <f t="shared" si="29"/>
        <v>2186.4281898148151</v>
      </c>
    </row>
    <row r="64" spans="1:47" ht="12.9" customHeight="1">
      <c r="A64" s="258">
        <v>6</v>
      </c>
      <c r="B64" s="293">
        <f>VLOOKUP(C64,PROYECTADA!$Y$7:$AD$54,6,0)</f>
        <v>10.398004552469137</v>
      </c>
      <c r="C64" s="300" t="str">
        <f t="shared" si="22"/>
        <v>Idme Huaraccallo, Gladis</v>
      </c>
      <c r="D64" s="294">
        <f t="shared" si="30"/>
        <v>83.184036419753099</v>
      </c>
      <c r="E64" s="294">
        <f t="shared" si="30"/>
        <v>93.582040972222231</v>
      </c>
      <c r="F64" s="294">
        <f t="shared" si="30"/>
        <v>72.786031867283967</v>
      </c>
      <c r="G64" s="295"/>
      <c r="H64" s="294">
        <f t="shared" si="31"/>
        <v>83.184036419753099</v>
      </c>
      <c r="I64" s="294">
        <f t="shared" si="31"/>
        <v>83.184036419753099</v>
      </c>
      <c r="J64" s="294">
        <f t="shared" si="31"/>
        <v>83.184036419753099</v>
      </c>
      <c r="K64" s="294">
        <f t="shared" si="31"/>
        <v>93.582040972222231</v>
      </c>
      <c r="L64" s="294">
        <f t="shared" si="31"/>
        <v>93.582040972222231</v>
      </c>
      <c r="M64" s="294">
        <f t="shared" si="31"/>
        <v>62.388027314814821</v>
      </c>
      <c r="N64" s="295"/>
      <c r="O64" s="294">
        <f t="shared" si="32"/>
        <v>83.184036419753099</v>
      </c>
      <c r="P64" s="294">
        <f t="shared" si="32"/>
        <v>83.184036419753099</v>
      </c>
      <c r="Q64" s="294">
        <f t="shared" si="32"/>
        <v>83.184036419753099</v>
      </c>
      <c r="R64" s="294">
        <f t="shared" si="32"/>
        <v>93.582040972222231</v>
      </c>
      <c r="S64" s="294">
        <f t="shared" si="32"/>
        <v>93.582040972222231</v>
      </c>
      <c r="T64" s="294">
        <f t="shared" si="32"/>
        <v>62.388027314814821</v>
      </c>
      <c r="U64" s="295">
        <f t="shared" si="26"/>
        <v>0</v>
      </c>
      <c r="V64" s="294">
        <f t="shared" si="26"/>
        <v>83.184036419753099</v>
      </c>
      <c r="W64" s="294">
        <f t="shared" si="26"/>
        <v>83.184036419753099</v>
      </c>
      <c r="X64" s="294">
        <f t="shared" si="26"/>
        <v>83.184036419753099</v>
      </c>
      <c r="Y64" s="294">
        <f t="shared" si="26"/>
        <v>93.582040972222231</v>
      </c>
      <c r="Z64" s="294">
        <f t="shared" si="26"/>
        <v>93.582040972222231</v>
      </c>
      <c r="AA64" s="294">
        <f t="shared" si="26"/>
        <v>62.388027314814821</v>
      </c>
      <c r="AB64" s="295"/>
      <c r="AC64" s="294">
        <f t="shared" si="33"/>
        <v>83.184036419753099</v>
      </c>
      <c r="AD64" s="294">
        <f t="shared" si="33"/>
        <v>83.184036419753099</v>
      </c>
      <c r="AE64" s="294">
        <f t="shared" si="33"/>
        <v>83.184036419753099</v>
      </c>
      <c r="AF64" s="294">
        <f t="shared" si="33"/>
        <v>93.582040972222231</v>
      </c>
      <c r="AG64" s="294">
        <f t="shared" si="33"/>
        <v>93.582040972222231</v>
      </c>
      <c r="AH64" s="294">
        <f t="shared" si="33"/>
        <v>62.388027314814821</v>
      </c>
      <c r="AI64" s="296">
        <f t="shared" si="29"/>
        <v>2245.9689833333337</v>
      </c>
    </row>
    <row r="65" spans="1:35" ht="12.9" customHeight="1">
      <c r="A65" s="258">
        <v>7</v>
      </c>
      <c r="B65" s="293">
        <f>VLOOKUP(C65,PROYECTADA!$Y$7:$AD$54,6,0)</f>
        <v>11.088124305555555</v>
      </c>
      <c r="C65" s="300" t="str">
        <f t="shared" si="22"/>
        <v>Jacha Gomez, Flavia</v>
      </c>
      <c r="D65" s="294">
        <f t="shared" si="30"/>
        <v>88.704994444444438</v>
      </c>
      <c r="E65" s="294">
        <f t="shared" si="30"/>
        <v>99.793118749999991</v>
      </c>
      <c r="F65" s="294">
        <f t="shared" si="30"/>
        <v>77.616870138888885</v>
      </c>
      <c r="G65" s="295"/>
      <c r="H65" s="294">
        <f t="shared" si="31"/>
        <v>88.704994444444438</v>
      </c>
      <c r="I65" s="294">
        <f t="shared" si="31"/>
        <v>88.704994444444438</v>
      </c>
      <c r="J65" s="294">
        <f t="shared" si="31"/>
        <v>88.704994444444438</v>
      </c>
      <c r="K65" s="294">
        <f t="shared" si="31"/>
        <v>99.793118749999991</v>
      </c>
      <c r="L65" s="294">
        <f t="shared" si="31"/>
        <v>99.793118749999991</v>
      </c>
      <c r="M65" s="294">
        <f t="shared" si="31"/>
        <v>66.528745833333332</v>
      </c>
      <c r="N65" s="295"/>
      <c r="O65" s="294">
        <f t="shared" si="32"/>
        <v>88.704994444444438</v>
      </c>
      <c r="P65" s="294">
        <f t="shared" si="32"/>
        <v>88.704994444444438</v>
      </c>
      <c r="Q65" s="294">
        <f t="shared" si="32"/>
        <v>88.704994444444438</v>
      </c>
      <c r="R65" s="294">
        <f t="shared" si="32"/>
        <v>99.793118749999991</v>
      </c>
      <c r="S65" s="294">
        <f t="shared" si="32"/>
        <v>99.793118749999991</v>
      </c>
      <c r="T65" s="294">
        <f t="shared" si="32"/>
        <v>66.528745833333332</v>
      </c>
      <c r="U65" s="295">
        <f t="shared" si="26"/>
        <v>0</v>
      </c>
      <c r="V65" s="294">
        <f t="shared" si="26"/>
        <v>88.704994444444438</v>
      </c>
      <c r="W65" s="294">
        <f t="shared" si="26"/>
        <v>88.704994444444438</v>
      </c>
      <c r="X65" s="294">
        <f t="shared" si="26"/>
        <v>88.704994444444438</v>
      </c>
      <c r="Y65" s="294">
        <f t="shared" si="26"/>
        <v>88.704994444444438</v>
      </c>
      <c r="Z65" s="294">
        <f t="shared" si="26"/>
        <v>0</v>
      </c>
      <c r="AA65" s="294">
        <f t="shared" si="26"/>
        <v>0</v>
      </c>
      <c r="AB65" s="295"/>
      <c r="AC65" s="294">
        <f t="shared" si="33"/>
        <v>0</v>
      </c>
      <c r="AD65" s="294">
        <f t="shared" si="33"/>
        <v>0</v>
      </c>
      <c r="AE65" s="294">
        <f t="shared" si="33"/>
        <v>88.704994444444438</v>
      </c>
      <c r="AF65" s="294">
        <f t="shared" si="33"/>
        <v>99.793118749999991</v>
      </c>
      <c r="AG65" s="294">
        <f t="shared" si="33"/>
        <v>99.793118749999991</v>
      </c>
      <c r="AH65" s="294">
        <f t="shared" si="33"/>
        <v>66.528745833333332</v>
      </c>
      <c r="AI65" s="296">
        <f t="shared" si="29"/>
        <v>2040.2148722222228</v>
      </c>
    </row>
    <row r="66" spans="1:35" ht="12.9" customHeight="1">
      <c r="A66" s="258">
        <v>8</v>
      </c>
      <c r="B66" s="293">
        <f>VLOOKUP(C66,PROYECTADA!$Y$7:$AD$54,6,0)</f>
        <v>10.511763117283955</v>
      </c>
      <c r="C66" s="300" t="str">
        <f t="shared" si="22"/>
        <v>Lerma Yanarico Elena</v>
      </c>
      <c r="D66" s="294">
        <f t="shared" si="30"/>
        <v>84.094104938271641</v>
      </c>
      <c r="E66" s="294">
        <f t="shared" si="30"/>
        <v>94.60586805555559</v>
      </c>
      <c r="F66" s="294">
        <f t="shared" si="30"/>
        <v>73.582341820987693</v>
      </c>
      <c r="G66" s="295"/>
      <c r="H66" s="294">
        <f t="shared" si="31"/>
        <v>84.094104938271641</v>
      </c>
      <c r="I66" s="294">
        <f t="shared" si="31"/>
        <v>84.094104938271641</v>
      </c>
      <c r="J66" s="294">
        <f t="shared" si="31"/>
        <v>84.094104938271641</v>
      </c>
      <c r="K66" s="294">
        <f t="shared" si="31"/>
        <v>94.60586805555559</v>
      </c>
      <c r="L66" s="294">
        <f t="shared" si="31"/>
        <v>94.60586805555559</v>
      </c>
      <c r="M66" s="294">
        <f t="shared" si="31"/>
        <v>63.070578703703731</v>
      </c>
      <c r="N66" s="295"/>
      <c r="O66" s="294">
        <f t="shared" si="32"/>
        <v>84.094104938271641</v>
      </c>
      <c r="P66" s="294">
        <f t="shared" si="32"/>
        <v>84.094104938271641</v>
      </c>
      <c r="Q66" s="294">
        <f t="shared" si="32"/>
        <v>84.094104938271641</v>
      </c>
      <c r="R66" s="294">
        <f t="shared" si="32"/>
        <v>94.60586805555559</v>
      </c>
      <c r="S66" s="294">
        <f t="shared" si="32"/>
        <v>94.60586805555559</v>
      </c>
      <c r="T66" s="294">
        <f t="shared" si="32"/>
        <v>63.070578703703731</v>
      </c>
      <c r="U66" s="295">
        <f t="shared" si="26"/>
        <v>0</v>
      </c>
      <c r="V66" s="294">
        <f t="shared" si="26"/>
        <v>84.094104938271641</v>
      </c>
      <c r="W66" s="294">
        <f t="shared" si="26"/>
        <v>84.094104938271641</v>
      </c>
      <c r="X66" s="294">
        <f t="shared" si="26"/>
        <v>84.094104938271641</v>
      </c>
      <c r="Y66" s="294">
        <f t="shared" si="26"/>
        <v>94.60586805555559</v>
      </c>
      <c r="Z66" s="294">
        <f t="shared" si="26"/>
        <v>94.60586805555559</v>
      </c>
      <c r="AA66" s="294">
        <f t="shared" si="26"/>
        <v>63.070578703703731</v>
      </c>
      <c r="AB66" s="295"/>
      <c r="AC66" s="294">
        <f t="shared" si="33"/>
        <v>84.094104938271641</v>
      </c>
      <c r="AD66" s="294">
        <f t="shared" si="33"/>
        <v>84.094104938271641</v>
      </c>
      <c r="AE66" s="294">
        <f t="shared" si="33"/>
        <v>84.094104938271641</v>
      </c>
      <c r="AF66" s="294">
        <f t="shared" si="33"/>
        <v>94.60586805555559</v>
      </c>
      <c r="AG66" s="294">
        <f t="shared" si="33"/>
        <v>94.60586805555559</v>
      </c>
      <c r="AH66" s="294">
        <f t="shared" si="33"/>
        <v>63.070578703703731</v>
      </c>
      <c r="AI66" s="296">
        <f t="shared" si="29"/>
        <v>2270.5408333333339</v>
      </c>
    </row>
    <row r="67" spans="1:35" ht="12.9" customHeight="1">
      <c r="A67" s="258">
        <v>9</v>
      </c>
      <c r="B67" s="293">
        <f>VLOOKUP(C67,PROYECTADA!$Y$7:$AD$54,6,0)</f>
        <v>10.411562808641978</v>
      </c>
      <c r="C67" s="300" t="str">
        <f t="shared" si="22"/>
        <v>Machaca Calcina, Benedicta</v>
      </c>
      <c r="D67" s="294">
        <f t="shared" si="30"/>
        <v>83.292502469135826</v>
      </c>
      <c r="E67" s="294">
        <f t="shared" si="30"/>
        <v>0</v>
      </c>
      <c r="F67" s="294">
        <f t="shared" si="30"/>
        <v>72.880939660493851</v>
      </c>
      <c r="G67" s="295"/>
      <c r="H67" s="294">
        <f t="shared" si="31"/>
        <v>83.292502469135826</v>
      </c>
      <c r="I67" s="294">
        <f t="shared" si="31"/>
        <v>83.292502469135826</v>
      </c>
      <c r="J67" s="294">
        <f t="shared" si="31"/>
        <v>0</v>
      </c>
      <c r="K67" s="294">
        <f t="shared" si="31"/>
        <v>93.704065277777801</v>
      </c>
      <c r="L67" s="294">
        <f t="shared" si="31"/>
        <v>93.704065277777801</v>
      </c>
      <c r="M67" s="294">
        <f t="shared" si="31"/>
        <v>62.46937685185187</v>
      </c>
      <c r="N67" s="295"/>
      <c r="O67" s="294">
        <f t="shared" si="32"/>
        <v>83.292502469135826</v>
      </c>
      <c r="P67" s="294">
        <f t="shared" si="32"/>
        <v>83.292502469135826</v>
      </c>
      <c r="Q67" s="294">
        <f t="shared" si="32"/>
        <v>83.292502469135826</v>
      </c>
      <c r="R67" s="294">
        <f t="shared" si="32"/>
        <v>93.704065277777801</v>
      </c>
      <c r="S67" s="294">
        <f t="shared" si="32"/>
        <v>93.704065277777801</v>
      </c>
      <c r="T67" s="294">
        <f t="shared" si="32"/>
        <v>62.46937685185187</v>
      </c>
      <c r="U67" s="295">
        <f t="shared" si="26"/>
        <v>0</v>
      </c>
      <c r="V67" s="294">
        <f t="shared" si="26"/>
        <v>0</v>
      </c>
      <c r="W67" s="294">
        <f t="shared" si="26"/>
        <v>83.292502469135826</v>
      </c>
      <c r="X67" s="294">
        <f t="shared" si="26"/>
        <v>83.292502469135826</v>
      </c>
      <c r="Y67" s="294">
        <f t="shared" si="26"/>
        <v>93.704065277777801</v>
      </c>
      <c r="Z67" s="294">
        <f t="shared" si="26"/>
        <v>93.704065277777801</v>
      </c>
      <c r="AA67" s="294">
        <f t="shared" si="26"/>
        <v>62.46937685185187</v>
      </c>
      <c r="AB67" s="295"/>
      <c r="AC67" s="294">
        <f t="shared" si="33"/>
        <v>83.292502469135826</v>
      </c>
      <c r="AD67" s="294">
        <f t="shared" si="33"/>
        <v>83.292502469135826</v>
      </c>
      <c r="AE67" s="294">
        <f t="shared" si="33"/>
        <v>83.292502469135826</v>
      </c>
      <c r="AF67" s="294">
        <f t="shared" si="33"/>
        <v>93.704065277777801</v>
      </c>
      <c r="AG67" s="294">
        <f t="shared" si="33"/>
        <v>0</v>
      </c>
      <c r="AH67" s="294">
        <f t="shared" si="33"/>
        <v>62.46937685185187</v>
      </c>
      <c r="AI67" s="296">
        <f t="shared" si="29"/>
        <v>1894.9044311728396</v>
      </c>
    </row>
    <row r="68" spans="1:35" ht="12.9" customHeight="1">
      <c r="A68" s="259">
        <v>10</v>
      </c>
      <c r="B68" s="293">
        <f>VLOOKUP(C68,PROYECTADA!$Y$7:$AD$54,6,0)</f>
        <v>10.503462500000003</v>
      </c>
      <c r="C68" s="300" t="str">
        <f t="shared" si="22"/>
        <v>Mamani Hancco,  Elsa Teresa</v>
      </c>
      <c r="D68" s="294">
        <f t="shared" si="30"/>
        <v>84.027700000000024</v>
      </c>
      <c r="E68" s="294">
        <f t="shared" si="30"/>
        <v>94.531162500000022</v>
      </c>
      <c r="F68" s="294">
        <f t="shared" si="30"/>
        <v>73.524237500000027</v>
      </c>
      <c r="G68" s="295"/>
      <c r="H68" s="294">
        <f t="shared" si="31"/>
        <v>84.027700000000024</v>
      </c>
      <c r="I68" s="294">
        <f t="shared" si="31"/>
        <v>84.027700000000024</v>
      </c>
      <c r="J68" s="294">
        <f t="shared" si="31"/>
        <v>84.027700000000024</v>
      </c>
      <c r="K68" s="294">
        <f t="shared" si="31"/>
        <v>94.531162500000022</v>
      </c>
      <c r="L68" s="294">
        <f t="shared" si="31"/>
        <v>94.531162500000022</v>
      </c>
      <c r="M68" s="294">
        <f t="shared" si="31"/>
        <v>63.020775000000015</v>
      </c>
      <c r="N68" s="295"/>
      <c r="O68" s="294">
        <f t="shared" si="32"/>
        <v>84.027700000000024</v>
      </c>
      <c r="P68" s="294">
        <f t="shared" si="32"/>
        <v>84.027700000000024</v>
      </c>
      <c r="Q68" s="294">
        <f t="shared" si="32"/>
        <v>84.027700000000024</v>
      </c>
      <c r="R68" s="294">
        <f t="shared" si="32"/>
        <v>94.531162500000022</v>
      </c>
      <c r="S68" s="294">
        <f t="shared" si="32"/>
        <v>94.531162500000022</v>
      </c>
      <c r="T68" s="294">
        <f t="shared" si="32"/>
        <v>63.020775000000015</v>
      </c>
      <c r="U68" s="295">
        <f t="shared" si="26"/>
        <v>0</v>
      </c>
      <c r="V68" s="294">
        <f t="shared" si="26"/>
        <v>84.027700000000024</v>
      </c>
      <c r="W68" s="294">
        <f t="shared" si="26"/>
        <v>84.027700000000024</v>
      </c>
      <c r="X68" s="294">
        <f t="shared" si="26"/>
        <v>84.027700000000024</v>
      </c>
      <c r="Y68" s="294">
        <f t="shared" si="26"/>
        <v>94.531162500000022</v>
      </c>
      <c r="Z68" s="294">
        <f t="shared" si="26"/>
        <v>94.531162500000022</v>
      </c>
      <c r="AA68" s="294">
        <f t="shared" si="26"/>
        <v>63.020775000000015</v>
      </c>
      <c r="AB68" s="295"/>
      <c r="AC68" s="294">
        <f t="shared" si="33"/>
        <v>84.027700000000024</v>
      </c>
      <c r="AD68" s="294">
        <f t="shared" si="33"/>
        <v>84.027700000000024</v>
      </c>
      <c r="AE68" s="294">
        <f t="shared" si="33"/>
        <v>84.027700000000024</v>
      </c>
      <c r="AF68" s="294">
        <f t="shared" si="33"/>
        <v>94.531162500000022</v>
      </c>
      <c r="AG68" s="294">
        <f t="shared" si="33"/>
        <v>94.531162500000022</v>
      </c>
      <c r="AH68" s="294">
        <f t="shared" si="33"/>
        <v>63.020775000000015</v>
      </c>
      <c r="AI68" s="296">
        <f t="shared" si="29"/>
        <v>2268.7479000000003</v>
      </c>
    </row>
    <row r="69" spans="1:35" ht="12.9" customHeight="1">
      <c r="A69" s="259">
        <v>11</v>
      </c>
      <c r="B69" s="293">
        <f>VLOOKUP(C69,PROYECTADA!$Y$7:$AD$54,6,0)</f>
        <v>10.309888966049384</v>
      </c>
      <c r="C69" s="300" t="str">
        <f t="shared" si="22"/>
        <v>Mamani Itusaca de Perca Guzmila</v>
      </c>
      <c r="D69" s="294">
        <f t="shared" si="30"/>
        <v>82.479111728395068</v>
      </c>
      <c r="E69" s="294">
        <f t="shared" si="30"/>
        <v>92.789000694444454</v>
      </c>
      <c r="F69" s="294">
        <f t="shared" si="30"/>
        <v>72.169222762345683</v>
      </c>
      <c r="G69" s="295"/>
      <c r="H69" s="294">
        <f t="shared" si="31"/>
        <v>82.479111728395068</v>
      </c>
      <c r="I69" s="294">
        <f t="shared" si="31"/>
        <v>82.479111728395068</v>
      </c>
      <c r="J69" s="294">
        <f t="shared" si="31"/>
        <v>82.479111728395068</v>
      </c>
      <c r="K69" s="294">
        <f t="shared" si="31"/>
        <v>92.789000694444454</v>
      </c>
      <c r="L69" s="294">
        <f t="shared" si="31"/>
        <v>92.789000694444454</v>
      </c>
      <c r="M69" s="294">
        <f t="shared" si="31"/>
        <v>61.859333796296298</v>
      </c>
      <c r="N69" s="295"/>
      <c r="O69" s="294">
        <f t="shared" si="32"/>
        <v>82.479111728395068</v>
      </c>
      <c r="P69" s="294">
        <f t="shared" si="32"/>
        <v>82.479111728395068</v>
      </c>
      <c r="Q69" s="294">
        <f t="shared" si="32"/>
        <v>82.479111728395068</v>
      </c>
      <c r="R69" s="294">
        <f t="shared" si="32"/>
        <v>92.789000694444454</v>
      </c>
      <c r="S69" s="294">
        <f t="shared" si="32"/>
        <v>92.789000694444454</v>
      </c>
      <c r="T69" s="294">
        <f t="shared" si="32"/>
        <v>61.859333796296298</v>
      </c>
      <c r="U69" s="295">
        <f t="shared" si="26"/>
        <v>0</v>
      </c>
      <c r="V69" s="294">
        <f t="shared" si="26"/>
        <v>0</v>
      </c>
      <c r="W69" s="294">
        <f t="shared" si="26"/>
        <v>82.479111728395068</v>
      </c>
      <c r="X69" s="294">
        <f t="shared" si="26"/>
        <v>82.479111728395068</v>
      </c>
      <c r="Y69" s="294">
        <f t="shared" si="26"/>
        <v>92.789000694444454</v>
      </c>
      <c r="Z69" s="294">
        <f t="shared" si="26"/>
        <v>92.789000694444454</v>
      </c>
      <c r="AA69" s="294">
        <f t="shared" si="26"/>
        <v>61.859333796296298</v>
      </c>
      <c r="AB69" s="295"/>
      <c r="AC69" s="294">
        <f t="shared" si="33"/>
        <v>82.479111728395068</v>
      </c>
      <c r="AD69" s="294">
        <f t="shared" si="33"/>
        <v>82.479111728395068</v>
      </c>
      <c r="AE69" s="294">
        <f t="shared" si="33"/>
        <v>82.479111728395068</v>
      </c>
      <c r="AF69" s="294">
        <f t="shared" si="33"/>
        <v>92.789000694444454</v>
      </c>
      <c r="AG69" s="294">
        <f t="shared" si="33"/>
        <v>92.789000694444454</v>
      </c>
      <c r="AH69" s="294">
        <f t="shared" si="33"/>
        <v>61.859333796296298</v>
      </c>
      <c r="AI69" s="296">
        <f t="shared" si="29"/>
        <v>2144.4569049382721</v>
      </c>
    </row>
    <row r="70" spans="1:35" ht="12.9" customHeight="1">
      <c r="A70" s="258">
        <v>12</v>
      </c>
      <c r="B70" s="293">
        <f>VLOOKUP(C70,PROYECTADA!$Y$7:$AD$54,6,0)</f>
        <v>10.309888966049384</v>
      </c>
      <c r="C70" s="300" t="str">
        <f t="shared" si="22"/>
        <v>Mayta Coaquira Janet Venancia</v>
      </c>
      <c r="D70" s="294">
        <f t="shared" si="30"/>
        <v>82.479111728395068</v>
      </c>
      <c r="E70" s="294">
        <f t="shared" si="30"/>
        <v>92.789000694444454</v>
      </c>
      <c r="F70" s="294">
        <f t="shared" si="30"/>
        <v>72.169222762345683</v>
      </c>
      <c r="G70" s="295"/>
      <c r="H70" s="294">
        <f t="shared" si="31"/>
        <v>82.479111728395068</v>
      </c>
      <c r="I70" s="294">
        <f t="shared" si="31"/>
        <v>82.479111728395068</v>
      </c>
      <c r="J70" s="294">
        <f t="shared" si="31"/>
        <v>82.479111728395068</v>
      </c>
      <c r="K70" s="294">
        <f t="shared" si="31"/>
        <v>92.789000694444454</v>
      </c>
      <c r="L70" s="294">
        <f t="shared" si="31"/>
        <v>92.789000694444454</v>
      </c>
      <c r="M70" s="294">
        <f t="shared" si="31"/>
        <v>61.859333796296298</v>
      </c>
      <c r="N70" s="295"/>
      <c r="O70" s="294">
        <f t="shared" si="32"/>
        <v>82.479111728395068</v>
      </c>
      <c r="P70" s="294">
        <f t="shared" si="32"/>
        <v>82.479111728395068</v>
      </c>
      <c r="Q70" s="294">
        <f t="shared" si="32"/>
        <v>82.479111728395068</v>
      </c>
      <c r="R70" s="294">
        <f t="shared" si="32"/>
        <v>92.789000694444454</v>
      </c>
      <c r="S70" s="294">
        <f t="shared" si="32"/>
        <v>92.789000694444454</v>
      </c>
      <c r="T70" s="294">
        <f t="shared" si="32"/>
        <v>61.859333796296298</v>
      </c>
      <c r="U70" s="295">
        <f t="shared" si="26"/>
        <v>0</v>
      </c>
      <c r="V70" s="294">
        <f t="shared" si="26"/>
        <v>0</v>
      </c>
      <c r="W70" s="294">
        <f t="shared" si="26"/>
        <v>0</v>
      </c>
      <c r="X70" s="294">
        <f t="shared" si="26"/>
        <v>0</v>
      </c>
      <c r="Y70" s="294">
        <f t="shared" si="26"/>
        <v>0</v>
      </c>
      <c r="Z70" s="294">
        <f t="shared" si="26"/>
        <v>0</v>
      </c>
      <c r="AA70" s="294">
        <f t="shared" si="26"/>
        <v>0</v>
      </c>
      <c r="AB70" s="295"/>
      <c r="AC70" s="294">
        <f t="shared" si="33"/>
        <v>0</v>
      </c>
      <c r="AD70" s="294">
        <f t="shared" si="33"/>
        <v>0</v>
      </c>
      <c r="AE70" s="294">
        <f t="shared" si="33"/>
        <v>0</v>
      </c>
      <c r="AF70" s="294">
        <f t="shared" si="33"/>
        <v>0</v>
      </c>
      <c r="AG70" s="294">
        <f t="shared" si="33"/>
        <v>0</v>
      </c>
      <c r="AH70" s="294">
        <f t="shared" si="33"/>
        <v>0</v>
      </c>
      <c r="AI70" s="296">
        <f t="shared" si="29"/>
        <v>1237.1866759259262</v>
      </c>
    </row>
    <row r="71" spans="1:35" ht="12.9" customHeight="1">
      <c r="A71" s="258">
        <v>13</v>
      </c>
      <c r="B71" s="293">
        <f>VLOOKUP(C71,PROYECTADA!$Y$7:$AD$54,6,0)</f>
        <v>10.309888966049384</v>
      </c>
      <c r="C71" s="300" t="str">
        <f t="shared" si="22"/>
        <v>Parari Laura Teresa Lucy</v>
      </c>
      <c r="D71" s="294">
        <f t="shared" si="30"/>
        <v>82.479111728395068</v>
      </c>
      <c r="E71" s="294">
        <f t="shared" si="30"/>
        <v>92.789000694444454</v>
      </c>
      <c r="F71" s="294">
        <f t="shared" si="30"/>
        <v>72.169222762345683</v>
      </c>
      <c r="G71" s="295"/>
      <c r="H71" s="294">
        <f t="shared" si="31"/>
        <v>82.479111728395068</v>
      </c>
      <c r="I71" s="294">
        <f t="shared" si="31"/>
        <v>82.479111728395068</v>
      </c>
      <c r="J71" s="294">
        <f t="shared" si="31"/>
        <v>82.479111728395068</v>
      </c>
      <c r="K71" s="294">
        <f t="shared" si="31"/>
        <v>92.789000694444454</v>
      </c>
      <c r="L71" s="294">
        <f t="shared" si="31"/>
        <v>92.789000694444454</v>
      </c>
      <c r="M71" s="294">
        <f t="shared" si="31"/>
        <v>61.859333796296298</v>
      </c>
      <c r="N71" s="295"/>
      <c r="O71" s="294">
        <f t="shared" si="32"/>
        <v>82.479111728395068</v>
      </c>
      <c r="P71" s="294">
        <f t="shared" si="32"/>
        <v>82.479111728395068</v>
      </c>
      <c r="Q71" s="294">
        <f t="shared" si="32"/>
        <v>82.479111728395068</v>
      </c>
      <c r="R71" s="294">
        <f t="shared" si="32"/>
        <v>92.789000694444454</v>
      </c>
      <c r="S71" s="294">
        <f t="shared" si="32"/>
        <v>92.789000694444454</v>
      </c>
      <c r="T71" s="294">
        <f t="shared" si="32"/>
        <v>61.859333796296298</v>
      </c>
      <c r="U71" s="295">
        <f t="shared" si="26"/>
        <v>0</v>
      </c>
      <c r="V71" s="294">
        <f t="shared" si="26"/>
        <v>82.479111728395068</v>
      </c>
      <c r="W71" s="294">
        <f t="shared" si="26"/>
        <v>82.479111728395068</v>
      </c>
      <c r="X71" s="294">
        <f t="shared" si="26"/>
        <v>82.479111728395068</v>
      </c>
      <c r="Y71" s="294">
        <f t="shared" si="26"/>
        <v>92.789000694444454</v>
      </c>
      <c r="Z71" s="294">
        <f t="shared" si="26"/>
        <v>92.789000694444454</v>
      </c>
      <c r="AA71" s="294">
        <f t="shared" si="26"/>
        <v>61.859333796296298</v>
      </c>
      <c r="AB71" s="295"/>
      <c r="AC71" s="294">
        <f t="shared" si="33"/>
        <v>82.479111728395068</v>
      </c>
      <c r="AD71" s="294">
        <f t="shared" si="33"/>
        <v>82.479111728395068</v>
      </c>
      <c r="AE71" s="294">
        <f t="shared" si="33"/>
        <v>82.479111728395068</v>
      </c>
      <c r="AF71" s="294">
        <f t="shared" si="33"/>
        <v>92.789000694444454</v>
      </c>
      <c r="AG71" s="294">
        <f t="shared" si="33"/>
        <v>92.789000694444454</v>
      </c>
      <c r="AH71" s="294">
        <f t="shared" si="33"/>
        <v>61.859333796296298</v>
      </c>
      <c r="AI71" s="296">
        <f t="shared" si="29"/>
        <v>2226.936016666667</v>
      </c>
    </row>
    <row r="72" spans="1:35" ht="12.9" customHeight="1">
      <c r="A72" s="258">
        <v>14</v>
      </c>
      <c r="B72" s="293">
        <f>VLOOKUP(C72,PROYECTADA!$Y$7:$AD$54,6,0)</f>
        <v>10.309888966049384</v>
      </c>
      <c r="C72" s="300" t="str">
        <f t="shared" si="22"/>
        <v>Pelinco Machaca, Monica</v>
      </c>
      <c r="D72" s="294">
        <f t="shared" si="30"/>
        <v>82.479111728395068</v>
      </c>
      <c r="E72" s="294">
        <f t="shared" si="30"/>
        <v>92.789000694444454</v>
      </c>
      <c r="F72" s="294">
        <f t="shared" si="30"/>
        <v>72.169222762345683</v>
      </c>
      <c r="G72" s="295"/>
      <c r="H72" s="294">
        <f t="shared" si="31"/>
        <v>82.479111728395068</v>
      </c>
      <c r="I72" s="294">
        <f t="shared" si="31"/>
        <v>82.479111728395068</v>
      </c>
      <c r="J72" s="294">
        <f t="shared" si="31"/>
        <v>82.479111728395068</v>
      </c>
      <c r="K72" s="294">
        <f t="shared" si="31"/>
        <v>92.789000694444454</v>
      </c>
      <c r="L72" s="294">
        <f t="shared" si="31"/>
        <v>92.789000694444454</v>
      </c>
      <c r="M72" s="294">
        <f t="shared" si="31"/>
        <v>61.859333796296298</v>
      </c>
      <c r="N72" s="295"/>
      <c r="O72" s="294">
        <f t="shared" si="32"/>
        <v>82.479111728395068</v>
      </c>
      <c r="P72" s="294">
        <f t="shared" si="32"/>
        <v>82.479111728395068</v>
      </c>
      <c r="Q72" s="294">
        <f t="shared" si="32"/>
        <v>82.479111728395068</v>
      </c>
      <c r="R72" s="294">
        <f t="shared" si="32"/>
        <v>92.789000694444454</v>
      </c>
      <c r="S72" s="294">
        <f t="shared" si="32"/>
        <v>92.789000694444454</v>
      </c>
      <c r="T72" s="294">
        <f t="shared" si="32"/>
        <v>61.859333796296298</v>
      </c>
      <c r="U72" s="295">
        <f t="shared" si="26"/>
        <v>0</v>
      </c>
      <c r="V72" s="294">
        <f t="shared" si="26"/>
        <v>82.479111728395068</v>
      </c>
      <c r="W72" s="294">
        <f t="shared" si="26"/>
        <v>82.479111728395068</v>
      </c>
      <c r="X72" s="294">
        <f t="shared" si="26"/>
        <v>82.479111728395068</v>
      </c>
      <c r="Y72" s="294">
        <f t="shared" si="26"/>
        <v>92.789000694444454</v>
      </c>
      <c r="Z72" s="294">
        <f t="shared" si="26"/>
        <v>92.789000694444454</v>
      </c>
      <c r="AA72" s="294">
        <f t="shared" si="26"/>
        <v>61.859333796296298</v>
      </c>
      <c r="AB72" s="295"/>
      <c r="AC72" s="294">
        <f t="shared" si="33"/>
        <v>82.479111728395068</v>
      </c>
      <c r="AD72" s="294">
        <f t="shared" si="33"/>
        <v>82.479111728395068</v>
      </c>
      <c r="AE72" s="294">
        <f t="shared" si="33"/>
        <v>82.479111728395068</v>
      </c>
      <c r="AF72" s="294">
        <f t="shared" si="33"/>
        <v>92.789000694444454</v>
      </c>
      <c r="AG72" s="294">
        <f t="shared" si="33"/>
        <v>92.789000694444454</v>
      </c>
      <c r="AH72" s="294">
        <f t="shared" si="33"/>
        <v>61.859333796296298</v>
      </c>
      <c r="AI72" s="296">
        <f t="shared" si="29"/>
        <v>2226.936016666667</v>
      </c>
    </row>
    <row r="73" spans="1:35" ht="12.9" customHeight="1">
      <c r="A73" s="258">
        <v>15</v>
      </c>
      <c r="B73" s="293">
        <f>VLOOKUP(C73,PROYECTADA!$Y$7:$AD$54,6,0)</f>
        <v>10.401248070987654</v>
      </c>
      <c r="C73" s="300" t="str">
        <f t="shared" si="22"/>
        <v>Quispe Pacco Obita</v>
      </c>
      <c r="D73" s="294">
        <f t="shared" si="30"/>
        <v>83.20998456790123</v>
      </c>
      <c r="E73" s="294">
        <f t="shared" si="30"/>
        <v>93.611232638888879</v>
      </c>
      <c r="F73" s="294">
        <f t="shared" si="30"/>
        <v>72.808736496913582</v>
      </c>
      <c r="G73" s="295"/>
      <c r="H73" s="294">
        <f t="shared" si="31"/>
        <v>83.20998456790123</v>
      </c>
      <c r="I73" s="294">
        <f t="shared" si="31"/>
        <v>83.20998456790123</v>
      </c>
      <c r="J73" s="294">
        <f t="shared" si="31"/>
        <v>83.20998456790123</v>
      </c>
      <c r="K73" s="294">
        <f t="shared" si="31"/>
        <v>93.611232638888879</v>
      </c>
      <c r="L73" s="294">
        <f t="shared" si="31"/>
        <v>93.611232638888879</v>
      </c>
      <c r="M73" s="294">
        <f t="shared" si="31"/>
        <v>62.407488425925919</v>
      </c>
      <c r="N73" s="295"/>
      <c r="O73" s="294">
        <f t="shared" si="32"/>
        <v>83.20998456790123</v>
      </c>
      <c r="P73" s="294">
        <f t="shared" si="32"/>
        <v>83.20998456790123</v>
      </c>
      <c r="Q73" s="294">
        <f t="shared" si="32"/>
        <v>83.20998456790123</v>
      </c>
      <c r="R73" s="294">
        <f t="shared" si="32"/>
        <v>93.611232638888879</v>
      </c>
      <c r="S73" s="294">
        <f t="shared" si="32"/>
        <v>93.611232638888879</v>
      </c>
      <c r="T73" s="294">
        <f t="shared" si="32"/>
        <v>62.407488425925919</v>
      </c>
      <c r="U73" s="295">
        <f t="shared" si="26"/>
        <v>0</v>
      </c>
      <c r="V73" s="294">
        <f t="shared" si="26"/>
        <v>83.20998456790123</v>
      </c>
      <c r="W73" s="294">
        <f t="shared" si="26"/>
        <v>83.20998456790123</v>
      </c>
      <c r="X73" s="294">
        <f t="shared" si="26"/>
        <v>83.20998456790123</v>
      </c>
      <c r="Y73" s="294">
        <f t="shared" si="26"/>
        <v>93.611232638888879</v>
      </c>
      <c r="Z73" s="294">
        <f t="shared" si="26"/>
        <v>93.611232638888879</v>
      </c>
      <c r="AA73" s="294">
        <f t="shared" si="26"/>
        <v>62.407488425925919</v>
      </c>
      <c r="AB73" s="295"/>
      <c r="AC73" s="294">
        <f t="shared" si="33"/>
        <v>83.20998456790123</v>
      </c>
      <c r="AD73" s="294">
        <f t="shared" si="33"/>
        <v>83.20998456790123</v>
      </c>
      <c r="AE73" s="294">
        <f t="shared" si="33"/>
        <v>83.20998456790123</v>
      </c>
      <c r="AF73" s="294">
        <f t="shared" si="33"/>
        <v>93.611232638888879</v>
      </c>
      <c r="AG73" s="294">
        <f t="shared" si="33"/>
        <v>93.611232638888879</v>
      </c>
      <c r="AH73" s="294">
        <f t="shared" si="33"/>
        <v>62.407488425925919</v>
      </c>
      <c r="AI73" s="296">
        <f t="shared" si="29"/>
        <v>2246.6695833333333</v>
      </c>
    </row>
    <row r="74" spans="1:35" ht="12.9" customHeight="1">
      <c r="A74" s="259">
        <v>16</v>
      </c>
      <c r="B74" s="293">
        <f>VLOOKUP(C74,PROYECTADA!$Y$7:$AD$54,6,0)</f>
        <v>11.189946016975309</v>
      </c>
      <c r="C74" s="304" t="str">
        <f t="shared" si="22"/>
        <v>Aragon Hancco  Delia Jesusa</v>
      </c>
      <c r="D74" s="294">
        <f t="shared" si="30"/>
        <v>89.519568135802473</v>
      </c>
      <c r="E74" s="294">
        <f t="shared" si="30"/>
        <v>100.70951415277779</v>
      </c>
      <c r="F74" s="294">
        <f t="shared" si="30"/>
        <v>78.32962211882716</v>
      </c>
      <c r="G74" s="295"/>
      <c r="H74" s="294">
        <f t="shared" si="31"/>
        <v>89.519568135802473</v>
      </c>
      <c r="I74" s="294">
        <f t="shared" si="31"/>
        <v>89.519568135802473</v>
      </c>
      <c r="J74" s="294">
        <f t="shared" si="31"/>
        <v>44.759784067901236</v>
      </c>
      <c r="K74" s="294">
        <f t="shared" si="31"/>
        <v>100.70951415277779</v>
      </c>
      <c r="L74" s="294">
        <f t="shared" si="31"/>
        <v>100.70951415277779</v>
      </c>
      <c r="M74" s="294">
        <f t="shared" si="31"/>
        <v>67.139676101851848</v>
      </c>
      <c r="N74" s="295"/>
      <c r="O74" s="294">
        <f t="shared" si="32"/>
        <v>89.519568135802473</v>
      </c>
      <c r="P74" s="294">
        <f t="shared" si="32"/>
        <v>89.519568135802473</v>
      </c>
      <c r="Q74" s="294">
        <f t="shared" si="32"/>
        <v>89.519568135802473</v>
      </c>
      <c r="R74" s="294">
        <f t="shared" si="32"/>
        <v>0</v>
      </c>
      <c r="S74" s="294">
        <f t="shared" si="32"/>
        <v>100.70951415277779</v>
      </c>
      <c r="T74" s="294">
        <f t="shared" si="32"/>
        <v>67.139676101851848</v>
      </c>
      <c r="U74" s="295">
        <f t="shared" si="26"/>
        <v>0</v>
      </c>
      <c r="V74" s="294">
        <f t="shared" si="26"/>
        <v>0</v>
      </c>
      <c r="W74" s="294">
        <f t="shared" si="26"/>
        <v>89.519568135802473</v>
      </c>
      <c r="X74" s="294">
        <f t="shared" si="26"/>
        <v>89.519568135802473</v>
      </c>
      <c r="Y74" s="294">
        <f t="shared" si="26"/>
        <v>100.70951415277779</v>
      </c>
      <c r="Z74" s="294">
        <f t="shared" si="26"/>
        <v>100.70951415277779</v>
      </c>
      <c r="AA74" s="294">
        <f t="shared" si="26"/>
        <v>0</v>
      </c>
      <c r="AB74" s="295"/>
      <c r="AC74" s="294">
        <f t="shared" si="33"/>
        <v>89.519568135802473</v>
      </c>
      <c r="AD74" s="294">
        <f t="shared" si="33"/>
        <v>89.519568135802473</v>
      </c>
      <c r="AE74" s="294">
        <f t="shared" si="33"/>
        <v>89.519568135802473</v>
      </c>
      <c r="AF74" s="294">
        <f t="shared" si="33"/>
        <v>100.70951415277779</v>
      </c>
      <c r="AG74" s="294">
        <f t="shared" si="33"/>
        <v>100.70951415277779</v>
      </c>
      <c r="AH74" s="294">
        <f t="shared" si="33"/>
        <v>67.139676101851848</v>
      </c>
      <c r="AI74" s="296">
        <f t="shared" si="29"/>
        <v>2114.8997972083334</v>
      </c>
    </row>
    <row r="75" spans="1:35" ht="12.9" customHeight="1">
      <c r="A75" s="259">
        <v>17</v>
      </c>
      <c r="B75" s="293">
        <f>VLOOKUP(C75,PROYECTADA!$Y$7:$AD$54,6,0)</f>
        <v>11.079796354938274</v>
      </c>
      <c r="C75" s="304" t="str">
        <f t="shared" si="22"/>
        <v>Gonzales Aparicio Lisbeth</v>
      </c>
      <c r="D75" s="294">
        <f t="shared" si="30"/>
        <v>88.638370839506194</v>
      </c>
      <c r="E75" s="294">
        <f t="shared" si="30"/>
        <v>99.718167194444476</v>
      </c>
      <c r="F75" s="294">
        <f t="shared" si="30"/>
        <v>77.558574484567913</v>
      </c>
      <c r="G75" s="295"/>
      <c r="H75" s="294">
        <f t="shared" si="31"/>
        <v>88.638370839506194</v>
      </c>
      <c r="I75" s="294">
        <f t="shared" si="31"/>
        <v>88.638370839506194</v>
      </c>
      <c r="J75" s="294">
        <f t="shared" si="31"/>
        <v>88.638370839506194</v>
      </c>
      <c r="K75" s="294">
        <f t="shared" si="31"/>
        <v>99.718167194444476</v>
      </c>
      <c r="L75" s="294">
        <f t="shared" si="31"/>
        <v>99.718167194444476</v>
      </c>
      <c r="M75" s="294">
        <f t="shared" si="31"/>
        <v>66.478778129629646</v>
      </c>
      <c r="N75" s="295"/>
      <c r="O75" s="294">
        <f t="shared" si="32"/>
        <v>88.638370839506194</v>
      </c>
      <c r="P75" s="294">
        <f t="shared" si="32"/>
        <v>88.638370839506194</v>
      </c>
      <c r="Q75" s="294">
        <f t="shared" si="32"/>
        <v>88.638370839506194</v>
      </c>
      <c r="R75" s="294">
        <f t="shared" si="32"/>
        <v>99.718167194444476</v>
      </c>
      <c r="S75" s="294">
        <f t="shared" si="32"/>
        <v>99.718167194444476</v>
      </c>
      <c r="T75" s="294">
        <f t="shared" si="32"/>
        <v>66.478778129629646</v>
      </c>
      <c r="U75" s="295">
        <f t="shared" si="32"/>
        <v>0</v>
      </c>
      <c r="V75" s="294">
        <f t="shared" si="32"/>
        <v>88.638370839506194</v>
      </c>
      <c r="W75" s="294">
        <f t="shared" si="32"/>
        <v>88.638370839506194</v>
      </c>
      <c r="X75" s="294">
        <f t="shared" si="32"/>
        <v>88.638370839506194</v>
      </c>
      <c r="Y75" s="294">
        <f t="shared" si="32"/>
        <v>99.718167194444476</v>
      </c>
      <c r="Z75" s="294">
        <f t="shared" si="32"/>
        <v>99.718167194444476</v>
      </c>
      <c r="AA75" s="294">
        <f t="shared" si="32"/>
        <v>66.478778129629646</v>
      </c>
      <c r="AB75" s="295"/>
      <c r="AC75" s="294">
        <f t="shared" si="33"/>
        <v>88.638370839506194</v>
      </c>
      <c r="AD75" s="294">
        <f t="shared" si="33"/>
        <v>88.638370839506194</v>
      </c>
      <c r="AE75" s="294">
        <f t="shared" si="33"/>
        <v>88.638370839506194</v>
      </c>
      <c r="AF75" s="294">
        <f t="shared" si="33"/>
        <v>99.718167194444476</v>
      </c>
      <c r="AG75" s="294">
        <f t="shared" si="33"/>
        <v>99.718167194444476</v>
      </c>
      <c r="AH75" s="294">
        <f t="shared" si="33"/>
        <v>66.478778129629646</v>
      </c>
      <c r="AI75" s="296">
        <f t="shared" si="29"/>
        <v>2393.2360126666681</v>
      </c>
    </row>
    <row r="76" spans="1:35" ht="12.9" customHeight="1">
      <c r="A76" s="258">
        <v>18</v>
      </c>
      <c r="B76" s="293">
        <f>VLOOKUP(C76,PROYECTADA!$Y$7:$AD$54,6,0)</f>
        <v>11.189946016975307</v>
      </c>
      <c r="C76" s="304" t="str">
        <f t="shared" si="22"/>
        <v>Sánchez  Huanca María Luisa</v>
      </c>
      <c r="D76" s="294">
        <f t="shared" ref="D76:F91" si="34">IF(D24="F",0,+$B76*D24)</f>
        <v>89.519568135802459</v>
      </c>
      <c r="E76" s="294">
        <f t="shared" si="34"/>
        <v>100.70951415277777</v>
      </c>
      <c r="F76" s="294">
        <f t="shared" si="34"/>
        <v>78.329622118827146</v>
      </c>
      <c r="G76" s="295"/>
      <c r="H76" s="294">
        <f t="shared" ref="H76:M91" si="35">IF(H24="F",0,+$B76*H24)</f>
        <v>89.519568135802459</v>
      </c>
      <c r="I76" s="294">
        <f t="shared" si="35"/>
        <v>89.519568135802459</v>
      </c>
      <c r="J76" s="294">
        <f t="shared" si="35"/>
        <v>89.519568135802459</v>
      </c>
      <c r="K76" s="294">
        <f t="shared" si="35"/>
        <v>100.70951415277777</v>
      </c>
      <c r="L76" s="294">
        <f t="shared" si="35"/>
        <v>100.70951415277777</v>
      </c>
      <c r="M76" s="294">
        <f t="shared" si="35"/>
        <v>67.139676101851848</v>
      </c>
      <c r="N76" s="295"/>
      <c r="O76" s="294">
        <f t="shared" ref="O76:AA91" si="36">IF(O24="F",0,+$B76*O24)</f>
        <v>89.519568135802459</v>
      </c>
      <c r="P76" s="294">
        <f t="shared" si="36"/>
        <v>89.519568135802459</v>
      </c>
      <c r="Q76" s="294">
        <f t="shared" si="36"/>
        <v>89.519568135802459</v>
      </c>
      <c r="R76" s="294">
        <f t="shared" si="36"/>
        <v>100.70951415277777</v>
      </c>
      <c r="S76" s="294">
        <f t="shared" si="36"/>
        <v>100.70951415277777</v>
      </c>
      <c r="T76" s="294">
        <f t="shared" si="36"/>
        <v>67.139676101851848</v>
      </c>
      <c r="U76" s="295">
        <f t="shared" si="36"/>
        <v>0</v>
      </c>
      <c r="V76" s="294">
        <f t="shared" si="36"/>
        <v>89.519568135802459</v>
      </c>
      <c r="W76" s="294">
        <f t="shared" si="36"/>
        <v>89.519568135802459</v>
      </c>
      <c r="X76" s="294">
        <f t="shared" si="36"/>
        <v>89.519568135802459</v>
      </c>
      <c r="Y76" s="294">
        <f t="shared" si="36"/>
        <v>100.70951415277777</v>
      </c>
      <c r="Z76" s="294">
        <f t="shared" si="36"/>
        <v>100.70951415277777</v>
      </c>
      <c r="AA76" s="294">
        <f t="shared" si="36"/>
        <v>67.139676101851848</v>
      </c>
      <c r="AB76" s="295"/>
      <c r="AC76" s="294">
        <f t="shared" ref="AC76:AH91" si="37">IF(AC24="F",0,+$B76*AC24)</f>
        <v>89.519568135802459</v>
      </c>
      <c r="AD76" s="294">
        <f t="shared" si="37"/>
        <v>89.519568135802459</v>
      </c>
      <c r="AE76" s="294">
        <f t="shared" si="37"/>
        <v>89.519568135802459</v>
      </c>
      <c r="AF76" s="294">
        <f t="shared" si="37"/>
        <v>100.70951415277777</v>
      </c>
      <c r="AG76" s="294">
        <f t="shared" si="37"/>
        <v>100.70951415277777</v>
      </c>
      <c r="AH76" s="294">
        <f t="shared" si="37"/>
        <v>67.139676101851848</v>
      </c>
      <c r="AI76" s="296">
        <f t="shared" si="29"/>
        <v>2417.0283396666664</v>
      </c>
    </row>
    <row r="77" spans="1:35" ht="12.9" customHeight="1">
      <c r="A77" s="258">
        <v>19</v>
      </c>
      <c r="B77" s="293">
        <f>VLOOKUP(C77,PROYECTADA!$Y$7:$AD$54,6,0)</f>
        <v>11.391392746913585</v>
      </c>
      <c r="C77" s="305" t="str">
        <f t="shared" si="22"/>
        <v>Alvarez Chavez, Richard</v>
      </c>
      <c r="D77" s="294">
        <f t="shared" si="34"/>
        <v>91.13114197530868</v>
      </c>
      <c r="E77" s="294">
        <f t="shared" si="34"/>
        <v>102.52253472222226</v>
      </c>
      <c r="F77" s="294">
        <f t="shared" si="34"/>
        <v>79.739749228395098</v>
      </c>
      <c r="G77" s="295"/>
      <c r="H77" s="294">
        <f t="shared" si="35"/>
        <v>91.13114197530868</v>
      </c>
      <c r="I77" s="294">
        <f t="shared" si="35"/>
        <v>91.13114197530868</v>
      </c>
      <c r="J77" s="294">
        <f t="shared" si="35"/>
        <v>0</v>
      </c>
      <c r="K77" s="294">
        <f t="shared" si="35"/>
        <v>96.826838348765477</v>
      </c>
      <c r="L77" s="294">
        <f t="shared" si="35"/>
        <v>113.91392746913584</v>
      </c>
      <c r="M77" s="294">
        <f t="shared" si="35"/>
        <v>79.739749228395098</v>
      </c>
      <c r="N77" s="295"/>
      <c r="O77" s="294">
        <f t="shared" si="36"/>
        <v>91.13114197530868</v>
      </c>
      <c r="P77" s="294">
        <f t="shared" si="36"/>
        <v>91.13114197530868</v>
      </c>
      <c r="Q77" s="294">
        <f t="shared" si="36"/>
        <v>102.52253472222226</v>
      </c>
      <c r="R77" s="294">
        <f t="shared" si="36"/>
        <v>91.13114197530868</v>
      </c>
      <c r="S77" s="294">
        <f t="shared" si="36"/>
        <v>113.91392746913584</v>
      </c>
      <c r="T77" s="294">
        <f t="shared" si="36"/>
        <v>0</v>
      </c>
      <c r="U77" s="295">
        <f t="shared" si="36"/>
        <v>0</v>
      </c>
      <c r="V77" s="294">
        <f t="shared" si="36"/>
        <v>96.826838348765477</v>
      </c>
      <c r="W77" s="294">
        <f t="shared" si="36"/>
        <v>108.21823109567906</v>
      </c>
      <c r="X77" s="294">
        <f t="shared" si="36"/>
        <v>108.21823109567906</v>
      </c>
      <c r="Y77" s="294">
        <f t="shared" si="36"/>
        <v>108.21823109567906</v>
      </c>
      <c r="Z77" s="294">
        <f t="shared" si="36"/>
        <v>108.21823109567906</v>
      </c>
      <c r="AA77" s="294">
        <f t="shared" si="36"/>
        <v>79.739749228395098</v>
      </c>
      <c r="AB77" s="295"/>
      <c r="AC77" s="294">
        <f t="shared" si="37"/>
        <v>108.21823109567906</v>
      </c>
      <c r="AD77" s="294">
        <f t="shared" si="37"/>
        <v>108.21823109567906</v>
      </c>
      <c r="AE77" s="294">
        <f t="shared" si="37"/>
        <v>91.13114197530868</v>
      </c>
      <c r="AF77" s="294">
        <f t="shared" si="37"/>
        <v>91.13114197530868</v>
      </c>
      <c r="AG77" s="294">
        <f t="shared" si="37"/>
        <v>91.13114197530868</v>
      </c>
      <c r="AH77" s="294">
        <f t="shared" si="37"/>
        <v>34.174178240740758</v>
      </c>
      <c r="AI77" s="296">
        <f t="shared" si="29"/>
        <v>2369.4096913580261</v>
      </c>
    </row>
    <row r="78" spans="1:35" ht="12.9" customHeight="1">
      <c r="A78" s="258">
        <v>20</v>
      </c>
      <c r="B78" s="293">
        <f>VLOOKUP(C78,PROYECTADA!$Y$7:$AD$54,6,0)</f>
        <v>11.391392746913585</v>
      </c>
      <c r="C78" s="305" t="str">
        <f t="shared" si="22"/>
        <v>Aparicio Ch Claver</v>
      </c>
      <c r="D78" s="294">
        <f t="shared" si="34"/>
        <v>91.13114197530868</v>
      </c>
      <c r="E78" s="294">
        <f t="shared" si="34"/>
        <v>108.21823109567906</v>
      </c>
      <c r="F78" s="294">
        <f t="shared" si="34"/>
        <v>79.739749228395098</v>
      </c>
      <c r="G78" s="295"/>
      <c r="H78" s="294">
        <f t="shared" si="35"/>
        <v>96.826838348765477</v>
      </c>
      <c r="I78" s="294">
        <f t="shared" si="35"/>
        <v>96.826838348765477</v>
      </c>
      <c r="J78" s="294">
        <f t="shared" si="35"/>
        <v>96.826838348765477</v>
      </c>
      <c r="K78" s="294">
        <f t="shared" si="35"/>
        <v>91.13114197530868</v>
      </c>
      <c r="L78" s="294">
        <f t="shared" si="35"/>
        <v>108.21823109567906</v>
      </c>
      <c r="M78" s="294">
        <f t="shared" si="35"/>
        <v>79.739749228395098</v>
      </c>
      <c r="N78" s="295"/>
      <c r="O78" s="294">
        <f t="shared" si="36"/>
        <v>96.826838348765477</v>
      </c>
      <c r="P78" s="294">
        <f t="shared" si="36"/>
        <v>96.826838348765477</v>
      </c>
      <c r="Q78" s="294">
        <f t="shared" si="36"/>
        <v>108.21823109567906</v>
      </c>
      <c r="R78" s="294">
        <f t="shared" si="36"/>
        <v>108.21823109567906</v>
      </c>
      <c r="S78" s="294">
        <f t="shared" si="36"/>
        <v>102.52253472222226</v>
      </c>
      <c r="T78" s="294">
        <f t="shared" si="36"/>
        <v>79.739749228395098</v>
      </c>
      <c r="U78" s="295">
        <f t="shared" si="36"/>
        <v>0</v>
      </c>
      <c r="V78" s="294">
        <f t="shared" si="36"/>
        <v>96.826838348765477</v>
      </c>
      <c r="W78" s="294">
        <f t="shared" si="36"/>
        <v>96.826838348765477</v>
      </c>
      <c r="X78" s="294">
        <f t="shared" si="36"/>
        <v>96.826838348765477</v>
      </c>
      <c r="Y78" s="294">
        <f t="shared" si="36"/>
        <v>102.52253472222226</v>
      </c>
      <c r="Z78" s="294">
        <f t="shared" si="36"/>
        <v>108.21823109567906</v>
      </c>
      <c r="AA78" s="294">
        <f t="shared" si="36"/>
        <v>79.739749228395098</v>
      </c>
      <c r="AB78" s="295"/>
      <c r="AC78" s="294">
        <f t="shared" si="37"/>
        <v>0</v>
      </c>
      <c r="AD78" s="294">
        <f t="shared" si="37"/>
        <v>96.826838348765477</v>
      </c>
      <c r="AE78" s="294">
        <f t="shared" si="37"/>
        <v>91.13114197530868</v>
      </c>
      <c r="AF78" s="294">
        <f t="shared" si="37"/>
        <v>91.13114197530868</v>
      </c>
      <c r="AG78" s="294">
        <f t="shared" si="37"/>
        <v>108.21823109567906</v>
      </c>
      <c r="AH78" s="294">
        <f t="shared" si="37"/>
        <v>51.26126736111113</v>
      </c>
      <c r="AI78" s="296">
        <f t="shared" si="29"/>
        <v>2460.5408333333348</v>
      </c>
    </row>
    <row r="79" spans="1:35" ht="12.9" customHeight="1">
      <c r="A79" s="258">
        <v>21</v>
      </c>
      <c r="B79" s="293">
        <f>VLOOKUP(C79,PROYECTADA!$Y$7:$AD$54,6,0)</f>
        <v>10.743244598765436</v>
      </c>
      <c r="C79" s="300" t="str">
        <f t="shared" si="22"/>
        <v>Aquino Gomez Carmelo</v>
      </c>
      <c r="D79" s="294">
        <f t="shared" si="34"/>
        <v>85.945956790123489</v>
      </c>
      <c r="E79" s="294">
        <f t="shared" si="34"/>
        <v>96.689201388888932</v>
      </c>
      <c r="F79" s="294">
        <f t="shared" si="34"/>
        <v>75.202712191358046</v>
      </c>
      <c r="G79" s="295"/>
      <c r="H79" s="294">
        <f t="shared" si="35"/>
        <v>85.945956790123489</v>
      </c>
      <c r="I79" s="294">
        <f t="shared" si="35"/>
        <v>85.945956790123489</v>
      </c>
      <c r="J79" s="294">
        <f t="shared" si="35"/>
        <v>85.945956790123489</v>
      </c>
      <c r="K79" s="294">
        <f t="shared" si="35"/>
        <v>96.689201388888932</v>
      </c>
      <c r="L79" s="294">
        <f t="shared" si="35"/>
        <v>96.689201388888932</v>
      </c>
      <c r="M79" s="294">
        <f t="shared" si="35"/>
        <v>64.459467592592617</v>
      </c>
      <c r="N79" s="295"/>
      <c r="O79" s="294">
        <f t="shared" si="36"/>
        <v>85.945956790123489</v>
      </c>
      <c r="P79" s="294">
        <f t="shared" si="36"/>
        <v>85.945956790123489</v>
      </c>
      <c r="Q79" s="294">
        <f t="shared" si="36"/>
        <v>85.945956790123489</v>
      </c>
      <c r="R79" s="294">
        <f t="shared" si="36"/>
        <v>96.689201388888932</v>
      </c>
      <c r="S79" s="294">
        <f t="shared" si="36"/>
        <v>96.689201388888932</v>
      </c>
      <c r="T79" s="294">
        <f t="shared" si="36"/>
        <v>64.459467592592617</v>
      </c>
      <c r="U79" s="295">
        <f t="shared" si="36"/>
        <v>0</v>
      </c>
      <c r="V79" s="294">
        <f t="shared" si="36"/>
        <v>85.945956790123489</v>
      </c>
      <c r="W79" s="294">
        <f t="shared" si="36"/>
        <v>85.945956790123489</v>
      </c>
      <c r="X79" s="294">
        <f t="shared" si="36"/>
        <v>85.945956790123489</v>
      </c>
      <c r="Y79" s="294">
        <f t="shared" si="36"/>
        <v>96.689201388888932</v>
      </c>
      <c r="Z79" s="294">
        <f t="shared" si="36"/>
        <v>96.689201388888932</v>
      </c>
      <c r="AA79" s="294">
        <f t="shared" si="36"/>
        <v>64.459467592592617</v>
      </c>
      <c r="AB79" s="295"/>
      <c r="AC79" s="294">
        <f t="shared" si="37"/>
        <v>85.945956790123489</v>
      </c>
      <c r="AD79" s="294">
        <f t="shared" si="37"/>
        <v>85.945956790123489</v>
      </c>
      <c r="AE79" s="294">
        <f t="shared" si="37"/>
        <v>85.945956790123489</v>
      </c>
      <c r="AF79" s="294">
        <f t="shared" si="37"/>
        <v>96.689201388888932</v>
      </c>
      <c r="AG79" s="294">
        <f t="shared" si="37"/>
        <v>96.689201388888932</v>
      </c>
      <c r="AH79" s="294">
        <f t="shared" si="37"/>
        <v>64.459467592592617</v>
      </c>
      <c r="AI79" s="296">
        <f t="shared" si="29"/>
        <v>2320.5408333333353</v>
      </c>
    </row>
    <row r="80" spans="1:35" ht="12.9" customHeight="1">
      <c r="A80" s="259">
        <v>22</v>
      </c>
      <c r="B80" s="293">
        <f>VLOOKUP(C80,PROYECTADA!$Y$7:$AD$54,6,0)</f>
        <v>12.969477989969139</v>
      </c>
      <c r="C80" s="300" t="str">
        <f t="shared" si="22"/>
        <v>Ayamamani Chura Elver Emilio</v>
      </c>
      <c r="D80" s="294">
        <f t="shared" si="34"/>
        <v>103.75582391975311</v>
      </c>
      <c r="E80" s="294">
        <f t="shared" si="34"/>
        <v>116.72530190972225</v>
      </c>
      <c r="F80" s="294">
        <f t="shared" si="34"/>
        <v>90.786345929783977</v>
      </c>
      <c r="G80" s="295"/>
      <c r="H80" s="294">
        <f t="shared" si="35"/>
        <v>103.75582391975311</v>
      </c>
      <c r="I80" s="294">
        <f t="shared" si="35"/>
        <v>103.75582391975311</v>
      </c>
      <c r="J80" s="294">
        <f t="shared" si="35"/>
        <v>103.75582391975311</v>
      </c>
      <c r="K80" s="294">
        <f t="shared" si="35"/>
        <v>116.72530190972225</v>
      </c>
      <c r="L80" s="294">
        <f t="shared" si="35"/>
        <v>116.72530190972225</v>
      </c>
      <c r="M80" s="294">
        <f t="shared" si="35"/>
        <v>77.816867939814841</v>
      </c>
      <c r="N80" s="295"/>
      <c r="O80" s="294">
        <f t="shared" si="36"/>
        <v>103.75582391975311</v>
      </c>
      <c r="P80" s="294">
        <f t="shared" si="36"/>
        <v>103.75582391975311</v>
      </c>
      <c r="Q80" s="294">
        <f t="shared" si="36"/>
        <v>103.75582391975311</v>
      </c>
      <c r="R80" s="294">
        <f t="shared" si="36"/>
        <v>116.72530190972225</v>
      </c>
      <c r="S80" s="294">
        <f t="shared" si="36"/>
        <v>116.72530190972225</v>
      </c>
      <c r="T80" s="294">
        <f t="shared" si="36"/>
        <v>77.816867939814841</v>
      </c>
      <c r="U80" s="295">
        <f t="shared" si="36"/>
        <v>0</v>
      </c>
      <c r="V80" s="294">
        <f t="shared" si="36"/>
        <v>103.75582391975311</v>
      </c>
      <c r="W80" s="294">
        <f t="shared" si="36"/>
        <v>103.75582391975311</v>
      </c>
      <c r="X80" s="294">
        <f t="shared" si="36"/>
        <v>103.75582391975311</v>
      </c>
      <c r="Y80" s="294">
        <f t="shared" si="36"/>
        <v>116.72530190972225</v>
      </c>
      <c r="Z80" s="294">
        <f t="shared" si="36"/>
        <v>116.72530190972225</v>
      </c>
      <c r="AA80" s="294">
        <f t="shared" si="36"/>
        <v>77.816867939814841</v>
      </c>
      <c r="AB80" s="295"/>
      <c r="AC80" s="294">
        <f t="shared" si="37"/>
        <v>103.75582391975311</v>
      </c>
      <c r="AD80" s="294">
        <f t="shared" si="37"/>
        <v>103.75582391975311</v>
      </c>
      <c r="AE80" s="294">
        <f t="shared" si="37"/>
        <v>103.75582391975311</v>
      </c>
      <c r="AF80" s="294">
        <f t="shared" si="37"/>
        <v>116.72530190972225</v>
      </c>
      <c r="AG80" s="294">
        <f t="shared" si="37"/>
        <v>116.72530190972225</v>
      </c>
      <c r="AH80" s="294">
        <f t="shared" si="37"/>
        <v>77.816867939814841</v>
      </c>
      <c r="AI80" s="296">
        <f t="shared" si="29"/>
        <v>2801.4072458333349</v>
      </c>
    </row>
    <row r="81" spans="1:35" ht="12.9" customHeight="1">
      <c r="A81" s="259">
        <v>23</v>
      </c>
      <c r="B81" s="293">
        <f>VLOOKUP(C81,PROYECTADA!$Y$7:$AD$54,6,0)</f>
        <v>10.393679861111112</v>
      </c>
      <c r="C81" s="300" t="str">
        <f t="shared" si="22"/>
        <v xml:space="preserve">Cañari Pucho, Guillermo </v>
      </c>
      <c r="D81" s="294">
        <f t="shared" si="34"/>
        <v>83.149438888888895</v>
      </c>
      <c r="E81" s="294">
        <f t="shared" si="34"/>
        <v>93.543118750000005</v>
      </c>
      <c r="F81" s="294">
        <f t="shared" si="34"/>
        <v>72.755759027777785</v>
      </c>
      <c r="G81" s="295"/>
      <c r="H81" s="294">
        <f t="shared" si="35"/>
        <v>83.149438888888895</v>
      </c>
      <c r="I81" s="294">
        <f t="shared" si="35"/>
        <v>0</v>
      </c>
      <c r="J81" s="294">
        <f t="shared" si="35"/>
        <v>83.149438888888895</v>
      </c>
      <c r="K81" s="294">
        <f t="shared" si="35"/>
        <v>93.543118750000005</v>
      </c>
      <c r="L81" s="294">
        <f t="shared" si="35"/>
        <v>93.543118750000005</v>
      </c>
      <c r="M81" s="294">
        <f t="shared" si="35"/>
        <v>62.362079166666675</v>
      </c>
      <c r="N81" s="295"/>
      <c r="O81" s="294">
        <f t="shared" si="36"/>
        <v>83.149438888888895</v>
      </c>
      <c r="P81" s="294">
        <f t="shared" si="36"/>
        <v>83.149438888888895</v>
      </c>
      <c r="Q81" s="294">
        <f t="shared" si="36"/>
        <v>83.149438888888895</v>
      </c>
      <c r="R81" s="294">
        <f t="shared" si="36"/>
        <v>93.543118750000005</v>
      </c>
      <c r="S81" s="294">
        <f t="shared" si="36"/>
        <v>93.543118750000005</v>
      </c>
      <c r="T81" s="294">
        <f t="shared" si="36"/>
        <v>62.362079166666675</v>
      </c>
      <c r="U81" s="295">
        <f t="shared" si="36"/>
        <v>0</v>
      </c>
      <c r="V81" s="294">
        <f t="shared" si="36"/>
        <v>83.149438888888895</v>
      </c>
      <c r="W81" s="294">
        <f t="shared" si="36"/>
        <v>83.149438888888895</v>
      </c>
      <c r="X81" s="294">
        <f t="shared" si="36"/>
        <v>83.149438888888895</v>
      </c>
      <c r="Y81" s="294">
        <f t="shared" si="36"/>
        <v>93.543118750000005</v>
      </c>
      <c r="Z81" s="294">
        <f t="shared" si="36"/>
        <v>93.543118750000005</v>
      </c>
      <c r="AA81" s="294">
        <f t="shared" si="36"/>
        <v>62.362079166666675</v>
      </c>
      <c r="AB81" s="295"/>
      <c r="AC81" s="294">
        <f t="shared" si="37"/>
        <v>83.149438888888895</v>
      </c>
      <c r="AD81" s="294">
        <f t="shared" si="37"/>
        <v>83.149438888888895</v>
      </c>
      <c r="AE81" s="294">
        <f t="shared" si="37"/>
        <v>83.149438888888895</v>
      </c>
      <c r="AF81" s="294">
        <f t="shared" si="37"/>
        <v>93.543118750000005</v>
      </c>
      <c r="AG81" s="294">
        <f t="shared" si="37"/>
        <v>93.543118750000005</v>
      </c>
      <c r="AH81" s="294">
        <f t="shared" si="37"/>
        <v>62.362079166666675</v>
      </c>
      <c r="AI81" s="296">
        <f t="shared" si="29"/>
        <v>2161.8854111111114</v>
      </c>
    </row>
    <row r="82" spans="1:35" ht="12.75" customHeight="1">
      <c r="A82" s="258">
        <v>24</v>
      </c>
      <c r="B82" s="293">
        <f>VLOOKUP(C82,PROYECTADA!$Y$7:$AD$54,6,0)</f>
        <v>10.401248070987654</v>
      </c>
      <c r="C82" s="300" t="str">
        <f t="shared" si="22"/>
        <v>Ccanchi Neira, Juan Lorenzo</v>
      </c>
      <c r="D82" s="294">
        <f t="shared" si="34"/>
        <v>83.20998456790123</v>
      </c>
      <c r="E82" s="294">
        <f t="shared" si="34"/>
        <v>93.611232638888879</v>
      </c>
      <c r="F82" s="294">
        <f t="shared" si="34"/>
        <v>72.808736496913582</v>
      </c>
      <c r="G82" s="295"/>
      <c r="H82" s="294">
        <f t="shared" si="35"/>
        <v>83.20998456790123</v>
      </c>
      <c r="I82" s="294">
        <f t="shared" si="35"/>
        <v>83.20998456790123</v>
      </c>
      <c r="J82" s="294">
        <f t="shared" si="35"/>
        <v>83.20998456790123</v>
      </c>
      <c r="K82" s="294">
        <f t="shared" si="35"/>
        <v>93.611232638888879</v>
      </c>
      <c r="L82" s="294">
        <f t="shared" si="35"/>
        <v>93.611232638888879</v>
      </c>
      <c r="M82" s="294">
        <f t="shared" si="35"/>
        <v>62.407488425925919</v>
      </c>
      <c r="N82" s="295"/>
      <c r="O82" s="294">
        <f t="shared" si="36"/>
        <v>83.20998456790123</v>
      </c>
      <c r="P82" s="294">
        <f t="shared" si="36"/>
        <v>83.20998456790123</v>
      </c>
      <c r="Q82" s="294">
        <f t="shared" si="36"/>
        <v>83.20998456790123</v>
      </c>
      <c r="R82" s="294">
        <f t="shared" si="36"/>
        <v>93.611232638888879</v>
      </c>
      <c r="S82" s="294">
        <f t="shared" si="36"/>
        <v>93.611232638888879</v>
      </c>
      <c r="T82" s="294">
        <f t="shared" si="36"/>
        <v>62.407488425925919</v>
      </c>
      <c r="U82" s="295">
        <f t="shared" si="36"/>
        <v>0</v>
      </c>
      <c r="V82" s="294">
        <f t="shared" si="36"/>
        <v>83.20998456790123</v>
      </c>
      <c r="W82" s="294">
        <f t="shared" si="36"/>
        <v>83.20998456790123</v>
      </c>
      <c r="X82" s="294">
        <f t="shared" si="36"/>
        <v>83.20998456790123</v>
      </c>
      <c r="Y82" s="294">
        <f t="shared" si="36"/>
        <v>93.611232638888879</v>
      </c>
      <c r="Z82" s="294">
        <f t="shared" si="36"/>
        <v>93.611232638888879</v>
      </c>
      <c r="AA82" s="294">
        <f t="shared" si="36"/>
        <v>62.407488425925919</v>
      </c>
      <c r="AB82" s="295"/>
      <c r="AC82" s="294">
        <f t="shared" si="37"/>
        <v>83.20998456790123</v>
      </c>
      <c r="AD82" s="294">
        <f t="shared" si="37"/>
        <v>83.20998456790123</v>
      </c>
      <c r="AE82" s="294">
        <f t="shared" si="37"/>
        <v>83.20998456790123</v>
      </c>
      <c r="AF82" s="294">
        <f t="shared" si="37"/>
        <v>93.611232638888879</v>
      </c>
      <c r="AG82" s="294">
        <f t="shared" si="37"/>
        <v>93.611232638888879</v>
      </c>
      <c r="AH82" s="294">
        <f t="shared" si="37"/>
        <v>62.407488425925919</v>
      </c>
      <c r="AI82" s="296">
        <f t="shared" si="29"/>
        <v>2246.6695833333333</v>
      </c>
    </row>
    <row r="83" spans="1:35" ht="12.75" customHeight="1">
      <c r="A83" s="258">
        <v>25</v>
      </c>
      <c r="B83" s="293">
        <f>VLOOKUP(C83,PROYECTADA!$Y$7:$AD$54,6,0)</f>
        <v>10.398004552469137</v>
      </c>
      <c r="C83" s="300" t="str">
        <f t="shared" si="22"/>
        <v>Gamarra Chambi, Ernesto</v>
      </c>
      <c r="D83" s="294">
        <f t="shared" si="34"/>
        <v>83.184036419753099</v>
      </c>
      <c r="E83" s="294">
        <f t="shared" si="34"/>
        <v>93.582040972222231</v>
      </c>
      <c r="F83" s="294">
        <f t="shared" si="34"/>
        <v>72.786031867283967</v>
      </c>
      <c r="G83" s="295"/>
      <c r="H83" s="294">
        <f t="shared" si="35"/>
        <v>83.184036419753099</v>
      </c>
      <c r="I83" s="294">
        <f t="shared" si="35"/>
        <v>83.184036419753099</v>
      </c>
      <c r="J83" s="294">
        <f t="shared" si="35"/>
        <v>83.184036419753099</v>
      </c>
      <c r="K83" s="294">
        <f t="shared" si="35"/>
        <v>93.582040972222231</v>
      </c>
      <c r="L83" s="294">
        <f t="shared" si="35"/>
        <v>93.582040972222231</v>
      </c>
      <c r="M83" s="294">
        <f t="shared" si="35"/>
        <v>62.388027314814821</v>
      </c>
      <c r="N83" s="295"/>
      <c r="O83" s="294">
        <f t="shared" si="36"/>
        <v>83.184036419753099</v>
      </c>
      <c r="P83" s="294">
        <f t="shared" si="36"/>
        <v>83.184036419753099</v>
      </c>
      <c r="Q83" s="294">
        <f t="shared" si="36"/>
        <v>83.184036419753099</v>
      </c>
      <c r="R83" s="294">
        <f t="shared" si="36"/>
        <v>93.582040972222231</v>
      </c>
      <c r="S83" s="294">
        <f t="shared" si="36"/>
        <v>93.582040972222231</v>
      </c>
      <c r="T83" s="294">
        <f t="shared" si="36"/>
        <v>62.388027314814821</v>
      </c>
      <c r="U83" s="295">
        <f t="shared" si="36"/>
        <v>0</v>
      </c>
      <c r="V83" s="294">
        <f t="shared" si="36"/>
        <v>83.184036419753099</v>
      </c>
      <c r="W83" s="294">
        <f t="shared" si="36"/>
        <v>83.184036419753099</v>
      </c>
      <c r="X83" s="294">
        <f t="shared" si="36"/>
        <v>83.184036419753099</v>
      </c>
      <c r="Y83" s="294">
        <f t="shared" si="36"/>
        <v>93.582040972222231</v>
      </c>
      <c r="Z83" s="294">
        <f t="shared" si="36"/>
        <v>93.582040972222231</v>
      </c>
      <c r="AA83" s="294">
        <f t="shared" si="36"/>
        <v>62.388027314814821</v>
      </c>
      <c r="AB83" s="295"/>
      <c r="AC83" s="294">
        <f t="shared" si="37"/>
        <v>83.184036419753099</v>
      </c>
      <c r="AD83" s="294">
        <f t="shared" si="37"/>
        <v>83.184036419753099</v>
      </c>
      <c r="AE83" s="294">
        <f t="shared" si="37"/>
        <v>83.184036419753099</v>
      </c>
      <c r="AF83" s="294">
        <f t="shared" si="37"/>
        <v>93.582040972222231</v>
      </c>
      <c r="AG83" s="294">
        <f t="shared" si="37"/>
        <v>93.582040972222231</v>
      </c>
      <c r="AH83" s="294">
        <f t="shared" si="37"/>
        <v>62.388027314814821</v>
      </c>
      <c r="AI83" s="296">
        <f t="shared" si="29"/>
        <v>2245.9689833333337</v>
      </c>
    </row>
    <row r="84" spans="1:35" ht="12.75" customHeight="1">
      <c r="A84" s="258">
        <v>26</v>
      </c>
      <c r="B84" s="293">
        <f>VLOOKUP(C84,PROYECTADA!$Y$7:$AD$54,6,0)</f>
        <v>10.643044290123461</v>
      </c>
      <c r="C84" s="300" t="str">
        <f t="shared" si="22"/>
        <v>Huaynacho Otazu, Donar</v>
      </c>
      <c r="D84" s="294">
        <f t="shared" si="34"/>
        <v>85.144354320987688</v>
      </c>
      <c r="E84" s="294">
        <f t="shared" si="34"/>
        <v>95.787398611111144</v>
      </c>
      <c r="F84" s="294">
        <f t="shared" si="34"/>
        <v>74.501310030864232</v>
      </c>
      <c r="G84" s="295"/>
      <c r="H84" s="294">
        <f t="shared" si="35"/>
        <v>85.144354320987688</v>
      </c>
      <c r="I84" s="294">
        <f t="shared" si="35"/>
        <v>85.144354320987688</v>
      </c>
      <c r="J84" s="294">
        <f t="shared" si="35"/>
        <v>85.144354320987688</v>
      </c>
      <c r="K84" s="294">
        <f t="shared" si="35"/>
        <v>95.787398611111144</v>
      </c>
      <c r="L84" s="294">
        <f t="shared" si="35"/>
        <v>95.787398611111144</v>
      </c>
      <c r="M84" s="294">
        <f t="shared" si="35"/>
        <v>63.858265740740762</v>
      </c>
      <c r="N84" s="295"/>
      <c r="O84" s="294">
        <f t="shared" si="36"/>
        <v>85.144354320987688</v>
      </c>
      <c r="P84" s="294">
        <f t="shared" si="36"/>
        <v>85.144354320987688</v>
      </c>
      <c r="Q84" s="294">
        <f t="shared" si="36"/>
        <v>85.144354320987688</v>
      </c>
      <c r="R84" s="294">
        <f t="shared" si="36"/>
        <v>95.787398611111144</v>
      </c>
      <c r="S84" s="294">
        <f t="shared" si="36"/>
        <v>95.787398611111144</v>
      </c>
      <c r="T84" s="294">
        <f t="shared" si="36"/>
        <v>63.858265740740762</v>
      </c>
      <c r="U84" s="295">
        <f t="shared" si="36"/>
        <v>0</v>
      </c>
      <c r="V84" s="294">
        <f t="shared" si="36"/>
        <v>85.144354320987688</v>
      </c>
      <c r="W84" s="294">
        <f t="shared" si="36"/>
        <v>85.144354320987688</v>
      </c>
      <c r="X84" s="294">
        <f t="shared" si="36"/>
        <v>85.144354320987688</v>
      </c>
      <c r="Y84" s="294">
        <f t="shared" si="36"/>
        <v>95.787398611111144</v>
      </c>
      <c r="Z84" s="294">
        <f t="shared" si="36"/>
        <v>95.787398611111144</v>
      </c>
      <c r="AA84" s="294">
        <f t="shared" si="36"/>
        <v>63.858265740740762</v>
      </c>
      <c r="AB84" s="295"/>
      <c r="AC84" s="294">
        <f t="shared" si="37"/>
        <v>85.144354320987688</v>
      </c>
      <c r="AD84" s="294">
        <f t="shared" si="37"/>
        <v>85.144354320987688</v>
      </c>
      <c r="AE84" s="294">
        <f t="shared" si="37"/>
        <v>85.144354320987688</v>
      </c>
      <c r="AF84" s="294">
        <f t="shared" si="37"/>
        <v>95.787398611111144</v>
      </c>
      <c r="AG84" s="294">
        <f t="shared" si="37"/>
        <v>95.787398611111144</v>
      </c>
      <c r="AH84" s="294">
        <f t="shared" si="37"/>
        <v>63.858265740740762</v>
      </c>
      <c r="AI84" s="296">
        <f t="shared" si="29"/>
        <v>2298.8975666666684</v>
      </c>
    </row>
    <row r="85" spans="1:35" ht="12.75" customHeight="1">
      <c r="A85" s="258">
        <v>27</v>
      </c>
      <c r="B85" s="293">
        <f>VLOOKUP(C85,PROYECTADA!$Y$7:$AD$54,6,0)</f>
        <v>10.643044290123461</v>
      </c>
      <c r="C85" s="300" t="str">
        <f t="shared" si="22"/>
        <v>Huaynapata Itusaca Yoni Angel</v>
      </c>
      <c r="D85" s="294">
        <f t="shared" si="34"/>
        <v>85.144354320987688</v>
      </c>
      <c r="E85" s="294">
        <f t="shared" si="34"/>
        <v>95.787398611111144</v>
      </c>
      <c r="F85" s="294">
        <f t="shared" si="34"/>
        <v>74.501310030864232</v>
      </c>
      <c r="G85" s="295"/>
      <c r="H85" s="294">
        <f t="shared" si="35"/>
        <v>85.144354320987688</v>
      </c>
      <c r="I85" s="294">
        <f t="shared" si="35"/>
        <v>85.144354320987688</v>
      </c>
      <c r="J85" s="294">
        <f t="shared" si="35"/>
        <v>85.144354320987688</v>
      </c>
      <c r="K85" s="294">
        <f t="shared" si="35"/>
        <v>95.787398611111144</v>
      </c>
      <c r="L85" s="294">
        <f t="shared" si="35"/>
        <v>95.787398611111144</v>
      </c>
      <c r="M85" s="294">
        <f t="shared" si="35"/>
        <v>63.858265740740762</v>
      </c>
      <c r="N85" s="295"/>
      <c r="O85" s="294">
        <f t="shared" si="36"/>
        <v>85.144354320987688</v>
      </c>
      <c r="P85" s="294">
        <f t="shared" si="36"/>
        <v>85.144354320987688</v>
      </c>
      <c r="Q85" s="294">
        <f t="shared" si="36"/>
        <v>85.144354320987688</v>
      </c>
      <c r="R85" s="294">
        <f t="shared" si="36"/>
        <v>95.787398611111144</v>
      </c>
      <c r="S85" s="294">
        <f t="shared" si="36"/>
        <v>95.787398611111144</v>
      </c>
      <c r="T85" s="294">
        <f t="shared" si="36"/>
        <v>63.858265740740762</v>
      </c>
      <c r="U85" s="295">
        <f t="shared" si="36"/>
        <v>0</v>
      </c>
      <c r="V85" s="294">
        <f t="shared" si="36"/>
        <v>85.144354320987688</v>
      </c>
      <c r="W85" s="294">
        <f t="shared" si="36"/>
        <v>85.144354320987688</v>
      </c>
      <c r="X85" s="294">
        <f t="shared" si="36"/>
        <v>85.144354320987688</v>
      </c>
      <c r="Y85" s="294">
        <f t="shared" si="36"/>
        <v>95.787398611111144</v>
      </c>
      <c r="Z85" s="294">
        <f t="shared" si="36"/>
        <v>95.787398611111144</v>
      </c>
      <c r="AA85" s="294">
        <f t="shared" si="36"/>
        <v>63.858265740740762</v>
      </c>
      <c r="AB85" s="295"/>
      <c r="AC85" s="294">
        <f t="shared" si="37"/>
        <v>85.144354320987688</v>
      </c>
      <c r="AD85" s="294">
        <f t="shared" si="37"/>
        <v>85.144354320987688</v>
      </c>
      <c r="AE85" s="294">
        <f t="shared" si="37"/>
        <v>85.144354320987688</v>
      </c>
      <c r="AF85" s="294">
        <f t="shared" si="37"/>
        <v>95.787398611111144</v>
      </c>
      <c r="AG85" s="294">
        <f t="shared" si="37"/>
        <v>95.787398611111144</v>
      </c>
      <c r="AH85" s="294">
        <f t="shared" si="37"/>
        <v>63.858265740740762</v>
      </c>
      <c r="AI85" s="296">
        <f t="shared" si="29"/>
        <v>2298.8975666666684</v>
      </c>
    </row>
    <row r="86" spans="1:35" ht="12.75" customHeight="1">
      <c r="A86" s="259">
        <v>28</v>
      </c>
      <c r="B86" s="293">
        <f>VLOOKUP(C86,PROYECTADA!$Y$7:$AD$54,6,0)</f>
        <v>10.632729552469137</v>
      </c>
      <c r="C86" s="300" t="str">
        <f t="shared" si="22"/>
        <v>Idme Huaraccallo, Agustin</v>
      </c>
      <c r="D86" s="294">
        <f t="shared" si="34"/>
        <v>85.061836419753092</v>
      </c>
      <c r="E86" s="294">
        <f t="shared" si="34"/>
        <v>0</v>
      </c>
      <c r="F86" s="294">
        <f t="shared" si="34"/>
        <v>0</v>
      </c>
      <c r="G86" s="295"/>
      <c r="H86" s="294">
        <f t="shared" si="35"/>
        <v>0</v>
      </c>
      <c r="I86" s="294">
        <f t="shared" si="35"/>
        <v>0</v>
      </c>
      <c r="J86" s="294">
        <f t="shared" si="35"/>
        <v>0</v>
      </c>
      <c r="K86" s="294">
        <f t="shared" si="35"/>
        <v>0</v>
      </c>
      <c r="L86" s="294">
        <f t="shared" si="35"/>
        <v>0</v>
      </c>
      <c r="M86" s="294">
        <f t="shared" si="35"/>
        <v>0</v>
      </c>
      <c r="N86" s="295"/>
      <c r="O86" s="294">
        <f t="shared" si="36"/>
        <v>0</v>
      </c>
      <c r="P86" s="294">
        <f t="shared" si="36"/>
        <v>0</v>
      </c>
      <c r="Q86" s="294">
        <f t="shared" si="36"/>
        <v>0</v>
      </c>
      <c r="R86" s="294">
        <f t="shared" si="36"/>
        <v>0</v>
      </c>
      <c r="S86" s="294">
        <f t="shared" si="36"/>
        <v>0</v>
      </c>
      <c r="T86" s="294">
        <f t="shared" si="36"/>
        <v>0</v>
      </c>
      <c r="U86" s="295">
        <f t="shared" si="36"/>
        <v>0</v>
      </c>
      <c r="V86" s="294">
        <f t="shared" si="36"/>
        <v>0</v>
      </c>
      <c r="W86" s="294">
        <f t="shared" si="36"/>
        <v>0</v>
      </c>
      <c r="X86" s="294">
        <f t="shared" si="36"/>
        <v>0</v>
      </c>
      <c r="Y86" s="294">
        <f t="shared" si="36"/>
        <v>0</v>
      </c>
      <c r="Z86" s="294">
        <f t="shared" si="36"/>
        <v>0</v>
      </c>
      <c r="AA86" s="294">
        <f t="shared" si="36"/>
        <v>0</v>
      </c>
      <c r="AB86" s="295"/>
      <c r="AC86" s="294">
        <f t="shared" si="37"/>
        <v>0</v>
      </c>
      <c r="AD86" s="294">
        <f t="shared" si="37"/>
        <v>0</v>
      </c>
      <c r="AE86" s="294">
        <f t="shared" si="37"/>
        <v>0</v>
      </c>
      <c r="AF86" s="294">
        <f t="shared" si="37"/>
        <v>0</v>
      </c>
      <c r="AG86" s="294">
        <f t="shared" si="37"/>
        <v>0</v>
      </c>
      <c r="AH86" s="294">
        <f t="shared" si="37"/>
        <v>0</v>
      </c>
      <c r="AI86" s="296">
        <f t="shared" si="29"/>
        <v>85.061836419753092</v>
      </c>
    </row>
    <row r="87" spans="1:35" ht="12.75" customHeight="1">
      <c r="A87" s="259">
        <v>29</v>
      </c>
      <c r="B87" s="293">
        <f>VLOOKUP(C87,PROYECTADA!$Y$7:$AD$54,6,0)</f>
        <v>12.986908873456791</v>
      </c>
      <c r="C87" s="300" t="str">
        <f t="shared" si="22"/>
        <v>Lope Choquehuanca, Cirilo</v>
      </c>
      <c r="D87" s="294">
        <f t="shared" si="34"/>
        <v>103.89527098765433</v>
      </c>
      <c r="E87" s="294">
        <f t="shared" si="34"/>
        <v>116.88217986111113</v>
      </c>
      <c r="F87" s="294">
        <f t="shared" si="34"/>
        <v>90.90836211419753</v>
      </c>
      <c r="G87" s="295"/>
      <c r="H87" s="294">
        <f t="shared" si="35"/>
        <v>103.89527098765433</v>
      </c>
      <c r="I87" s="294">
        <f t="shared" si="35"/>
        <v>103.89527098765433</v>
      </c>
      <c r="J87" s="294">
        <f t="shared" si="35"/>
        <v>103.89527098765433</v>
      </c>
      <c r="K87" s="294">
        <f t="shared" si="35"/>
        <v>116.88217986111113</v>
      </c>
      <c r="L87" s="294">
        <f t="shared" si="35"/>
        <v>116.88217986111113</v>
      </c>
      <c r="M87" s="294">
        <f t="shared" si="35"/>
        <v>77.921453240740746</v>
      </c>
      <c r="N87" s="295"/>
      <c r="O87" s="294">
        <f t="shared" si="36"/>
        <v>103.89527098765433</v>
      </c>
      <c r="P87" s="294">
        <f t="shared" si="36"/>
        <v>103.89527098765433</v>
      </c>
      <c r="Q87" s="294">
        <f t="shared" si="36"/>
        <v>103.89527098765433</v>
      </c>
      <c r="R87" s="294">
        <f t="shared" si="36"/>
        <v>116.88217986111113</v>
      </c>
      <c r="S87" s="294">
        <f t="shared" si="36"/>
        <v>116.88217986111113</v>
      </c>
      <c r="T87" s="294">
        <f t="shared" si="36"/>
        <v>77.921453240740746</v>
      </c>
      <c r="U87" s="295">
        <f t="shared" si="36"/>
        <v>0</v>
      </c>
      <c r="V87" s="294">
        <f t="shared" si="36"/>
        <v>103.89527098765433</v>
      </c>
      <c r="W87" s="294">
        <f t="shared" si="36"/>
        <v>103.89527098765433</v>
      </c>
      <c r="X87" s="294">
        <f t="shared" si="36"/>
        <v>103.89527098765433</v>
      </c>
      <c r="Y87" s="294">
        <f t="shared" si="36"/>
        <v>116.88217986111113</v>
      </c>
      <c r="Z87" s="294">
        <f t="shared" si="36"/>
        <v>116.88217986111113</v>
      </c>
      <c r="AA87" s="294">
        <f t="shared" si="36"/>
        <v>0</v>
      </c>
      <c r="AB87" s="295"/>
      <c r="AC87" s="294">
        <f t="shared" si="37"/>
        <v>0</v>
      </c>
      <c r="AD87" s="294">
        <f t="shared" si="37"/>
        <v>103.89527098765433</v>
      </c>
      <c r="AE87" s="294">
        <f t="shared" si="37"/>
        <v>103.89527098765433</v>
      </c>
      <c r="AF87" s="294">
        <f t="shared" si="37"/>
        <v>116.88217986111113</v>
      </c>
      <c r="AG87" s="294">
        <f t="shared" si="37"/>
        <v>116.88217986111113</v>
      </c>
      <c r="AH87" s="294">
        <f t="shared" si="37"/>
        <v>77.921453240740746</v>
      </c>
      <c r="AI87" s="296">
        <f t="shared" si="29"/>
        <v>2623.3555924382722</v>
      </c>
    </row>
    <row r="88" spans="1:35" ht="12.75" customHeight="1">
      <c r="A88" s="258">
        <v>30</v>
      </c>
      <c r="B88" s="293">
        <f>VLOOKUP(C88,PROYECTADA!$Y$7:$AD$54,6,0)</f>
        <v>11.547094058641976</v>
      </c>
      <c r="C88" s="300" t="str">
        <f t="shared" si="22"/>
        <v>Lope Choquehuanca, Luis</v>
      </c>
      <c r="D88" s="294">
        <f t="shared" si="34"/>
        <v>92.376752469135809</v>
      </c>
      <c r="E88" s="294">
        <f t="shared" si="34"/>
        <v>103.92384652777778</v>
      </c>
      <c r="F88" s="294">
        <f t="shared" si="34"/>
        <v>80.829658410493835</v>
      </c>
      <c r="G88" s="295"/>
      <c r="H88" s="294">
        <f t="shared" si="35"/>
        <v>92.376752469135809</v>
      </c>
      <c r="I88" s="294">
        <f t="shared" si="35"/>
        <v>92.376752469135809</v>
      </c>
      <c r="J88" s="294">
        <f t="shared" si="35"/>
        <v>92.376752469135809</v>
      </c>
      <c r="K88" s="294">
        <f t="shared" si="35"/>
        <v>103.92384652777778</v>
      </c>
      <c r="L88" s="294">
        <f t="shared" si="35"/>
        <v>103.92384652777778</v>
      </c>
      <c r="M88" s="294">
        <f t="shared" si="35"/>
        <v>69.28256435185186</v>
      </c>
      <c r="N88" s="295"/>
      <c r="O88" s="294">
        <f t="shared" si="36"/>
        <v>92.376752469135809</v>
      </c>
      <c r="P88" s="294">
        <f t="shared" si="36"/>
        <v>92.376752469135809</v>
      </c>
      <c r="Q88" s="294">
        <f t="shared" si="36"/>
        <v>92.376752469135809</v>
      </c>
      <c r="R88" s="294">
        <f t="shared" si="36"/>
        <v>103.92384652777778</v>
      </c>
      <c r="S88" s="294">
        <f t="shared" si="36"/>
        <v>103.92384652777778</v>
      </c>
      <c r="T88" s="294">
        <f t="shared" si="36"/>
        <v>69.28256435185186</v>
      </c>
      <c r="U88" s="295">
        <f t="shared" si="36"/>
        <v>0</v>
      </c>
      <c r="V88" s="294">
        <f t="shared" si="36"/>
        <v>92.376752469135809</v>
      </c>
      <c r="W88" s="294">
        <f t="shared" si="36"/>
        <v>92.376752469135809</v>
      </c>
      <c r="X88" s="294">
        <f t="shared" si="36"/>
        <v>92.376752469135809</v>
      </c>
      <c r="Y88" s="294">
        <f t="shared" si="36"/>
        <v>103.92384652777778</v>
      </c>
      <c r="Z88" s="294">
        <f t="shared" si="36"/>
        <v>103.92384652777778</v>
      </c>
      <c r="AA88" s="294">
        <f t="shared" si="36"/>
        <v>69.28256435185186</v>
      </c>
      <c r="AB88" s="295"/>
      <c r="AC88" s="294">
        <f t="shared" si="37"/>
        <v>92.376752469135809</v>
      </c>
      <c r="AD88" s="294">
        <f t="shared" si="37"/>
        <v>92.376752469135809</v>
      </c>
      <c r="AE88" s="294">
        <f t="shared" si="37"/>
        <v>92.376752469135809</v>
      </c>
      <c r="AF88" s="294">
        <f t="shared" si="37"/>
        <v>103.92384652777778</v>
      </c>
      <c r="AG88" s="294">
        <f t="shared" si="37"/>
        <v>103.92384652777778</v>
      </c>
      <c r="AH88" s="294">
        <f t="shared" si="37"/>
        <v>69.28256435185186</v>
      </c>
      <c r="AI88" s="296">
        <f t="shared" si="29"/>
        <v>2494.172316666667</v>
      </c>
    </row>
    <row r="89" spans="1:35" ht="12.75" customHeight="1">
      <c r="A89" s="258">
        <v>31</v>
      </c>
      <c r="B89" s="293">
        <f>VLOOKUP(C89,PROYECTADA!$Y$7:$AD$54,6,0)</f>
        <v>11.387835339506179</v>
      </c>
      <c r="C89" s="300" t="str">
        <f t="shared" si="22"/>
        <v>Lopez Mamani, Nestor</v>
      </c>
      <c r="D89" s="294">
        <f t="shared" si="34"/>
        <v>91.102682716049429</v>
      </c>
      <c r="E89" s="294">
        <f t="shared" si="34"/>
        <v>91.102682716049429</v>
      </c>
      <c r="F89" s="294">
        <f t="shared" si="34"/>
        <v>91.102682716049429</v>
      </c>
      <c r="G89" s="295"/>
      <c r="H89" s="294">
        <f t="shared" si="35"/>
        <v>91.102682716049429</v>
      </c>
      <c r="I89" s="294">
        <f t="shared" si="35"/>
        <v>91.102682716049429</v>
      </c>
      <c r="J89" s="294">
        <f t="shared" si="35"/>
        <v>91.102682716049429</v>
      </c>
      <c r="K89" s="294">
        <f t="shared" si="35"/>
        <v>91.102682716049429</v>
      </c>
      <c r="L89" s="294">
        <f t="shared" si="35"/>
        <v>91.102682716049429</v>
      </c>
      <c r="M89" s="294">
        <f t="shared" si="35"/>
        <v>91.102682716049429</v>
      </c>
      <c r="N89" s="295"/>
      <c r="O89" s="294">
        <f t="shared" si="36"/>
        <v>91.102682716049429</v>
      </c>
      <c r="P89" s="294">
        <f t="shared" si="36"/>
        <v>91.102682716049429</v>
      </c>
      <c r="Q89" s="294">
        <f t="shared" si="36"/>
        <v>91.102682716049429</v>
      </c>
      <c r="R89" s="294">
        <f t="shared" si="36"/>
        <v>91.102682716049429</v>
      </c>
      <c r="S89" s="294">
        <f t="shared" si="36"/>
        <v>91.102682716049429</v>
      </c>
      <c r="T89" s="294">
        <f t="shared" si="36"/>
        <v>91.102682716049429</v>
      </c>
      <c r="U89" s="295">
        <f t="shared" si="36"/>
        <v>0</v>
      </c>
      <c r="V89" s="294">
        <f t="shared" si="36"/>
        <v>91.102682716049429</v>
      </c>
      <c r="W89" s="294">
        <f t="shared" si="36"/>
        <v>91.102682716049429</v>
      </c>
      <c r="X89" s="294">
        <f t="shared" si="36"/>
        <v>91.102682716049429</v>
      </c>
      <c r="Y89" s="294">
        <f t="shared" si="36"/>
        <v>91.102682716049429</v>
      </c>
      <c r="Z89" s="294">
        <f t="shared" si="36"/>
        <v>91.102682716049429</v>
      </c>
      <c r="AA89" s="294">
        <f t="shared" si="36"/>
        <v>91.102682716049429</v>
      </c>
      <c r="AB89" s="295"/>
      <c r="AC89" s="294">
        <f t="shared" si="37"/>
        <v>91.102682716049429</v>
      </c>
      <c r="AD89" s="294">
        <f t="shared" si="37"/>
        <v>91.102682716049429</v>
      </c>
      <c r="AE89" s="294">
        <f t="shared" si="37"/>
        <v>91.102682716049429</v>
      </c>
      <c r="AF89" s="294">
        <f t="shared" si="37"/>
        <v>91.102682716049429</v>
      </c>
      <c r="AG89" s="294">
        <f t="shared" si="37"/>
        <v>91.102682716049429</v>
      </c>
      <c r="AH89" s="294">
        <f t="shared" si="37"/>
        <v>91.102682716049429</v>
      </c>
      <c r="AI89" s="296">
        <f t="shared" si="29"/>
        <v>2459.7724333333349</v>
      </c>
    </row>
    <row r="90" spans="1:35" ht="12.75" customHeight="1">
      <c r="A90" s="258">
        <v>32</v>
      </c>
      <c r="B90" s="293">
        <f>VLOOKUP(C90,PROYECTADA!$Y$7:$AD$54,6,0)</f>
        <v>10.508205709876549</v>
      </c>
      <c r="C90" s="300" t="str">
        <f t="shared" si="22"/>
        <v>Mamani Anconaira, Santo Domingo</v>
      </c>
      <c r="D90" s="294">
        <f t="shared" si="34"/>
        <v>84.065645679012391</v>
      </c>
      <c r="E90" s="294">
        <f t="shared" si="34"/>
        <v>94.57385138888894</v>
      </c>
      <c r="F90" s="294">
        <f t="shared" si="34"/>
        <v>73.557439969135842</v>
      </c>
      <c r="G90" s="295"/>
      <c r="H90" s="294">
        <f t="shared" si="35"/>
        <v>84.065645679012391</v>
      </c>
      <c r="I90" s="294">
        <f t="shared" si="35"/>
        <v>84.065645679012391</v>
      </c>
      <c r="J90" s="294">
        <f t="shared" si="35"/>
        <v>84.065645679012391</v>
      </c>
      <c r="K90" s="294">
        <f t="shared" si="35"/>
        <v>94.57385138888894</v>
      </c>
      <c r="L90" s="294">
        <f t="shared" si="35"/>
        <v>94.57385138888894</v>
      </c>
      <c r="M90" s="294">
        <f t="shared" si="35"/>
        <v>63.049234259259293</v>
      </c>
      <c r="N90" s="295"/>
      <c r="O90" s="294">
        <f t="shared" si="36"/>
        <v>84.065645679012391</v>
      </c>
      <c r="P90" s="294">
        <f t="shared" si="36"/>
        <v>84.065645679012391</v>
      </c>
      <c r="Q90" s="294">
        <f t="shared" si="36"/>
        <v>84.065645679012391</v>
      </c>
      <c r="R90" s="294">
        <f t="shared" si="36"/>
        <v>94.57385138888894</v>
      </c>
      <c r="S90" s="294">
        <f t="shared" si="36"/>
        <v>94.57385138888894</v>
      </c>
      <c r="T90" s="294">
        <f t="shared" si="36"/>
        <v>63.049234259259293</v>
      </c>
      <c r="U90" s="295">
        <f t="shared" si="36"/>
        <v>0</v>
      </c>
      <c r="V90" s="294">
        <f t="shared" si="36"/>
        <v>84.065645679012391</v>
      </c>
      <c r="W90" s="294">
        <f t="shared" si="36"/>
        <v>84.065645679012391</v>
      </c>
      <c r="X90" s="294">
        <f t="shared" si="36"/>
        <v>84.065645679012391</v>
      </c>
      <c r="Y90" s="294">
        <f t="shared" si="36"/>
        <v>94.57385138888894</v>
      </c>
      <c r="Z90" s="294">
        <f t="shared" si="36"/>
        <v>94.57385138888894</v>
      </c>
      <c r="AA90" s="294">
        <f t="shared" si="36"/>
        <v>63.049234259259293</v>
      </c>
      <c r="AB90" s="295"/>
      <c r="AC90" s="294">
        <f t="shared" si="37"/>
        <v>84.065645679012391</v>
      </c>
      <c r="AD90" s="294">
        <f t="shared" si="37"/>
        <v>84.065645679012391</v>
      </c>
      <c r="AE90" s="294">
        <f t="shared" si="37"/>
        <v>84.065645679012391</v>
      </c>
      <c r="AF90" s="294">
        <f t="shared" si="37"/>
        <v>94.57385138888894</v>
      </c>
      <c r="AG90" s="294">
        <f t="shared" si="37"/>
        <v>94.57385138888894</v>
      </c>
      <c r="AH90" s="294">
        <f t="shared" si="37"/>
        <v>63.049234259259293</v>
      </c>
      <c r="AI90" s="296">
        <f t="shared" si="29"/>
        <v>2269.7724333333354</v>
      </c>
    </row>
    <row r="91" spans="1:35" ht="12.75" customHeight="1">
      <c r="A91" s="258">
        <v>33</v>
      </c>
      <c r="B91" s="293">
        <f>VLOOKUP(C91,PROYECTADA!$Y$7:$AD$54,6,0)</f>
        <v>19.181127024112655</v>
      </c>
      <c r="C91" s="300" t="str">
        <f t="shared" si="22"/>
        <v>Mamani Idme, Vicente</v>
      </c>
      <c r="D91" s="294">
        <f t="shared" si="34"/>
        <v>153.44901619290124</v>
      </c>
      <c r="E91" s="294">
        <f t="shared" si="34"/>
        <v>172.63014321701388</v>
      </c>
      <c r="F91" s="294">
        <f t="shared" si="34"/>
        <v>134.2678891687886</v>
      </c>
      <c r="G91" s="295"/>
      <c r="H91" s="294">
        <f t="shared" si="35"/>
        <v>153.44901619290124</v>
      </c>
      <c r="I91" s="294">
        <f t="shared" si="35"/>
        <v>153.44901619290124</v>
      </c>
      <c r="J91" s="294">
        <f t="shared" si="35"/>
        <v>153.44901619290124</v>
      </c>
      <c r="K91" s="294">
        <f t="shared" si="35"/>
        <v>172.63014321701388</v>
      </c>
      <c r="L91" s="294">
        <f t="shared" si="35"/>
        <v>172.63014321701388</v>
      </c>
      <c r="M91" s="294">
        <f t="shared" si="35"/>
        <v>115.08676214467593</v>
      </c>
      <c r="N91" s="295"/>
      <c r="O91" s="294">
        <f t="shared" si="36"/>
        <v>153.44901619290124</v>
      </c>
      <c r="P91" s="294">
        <f t="shared" si="36"/>
        <v>153.44901619290124</v>
      </c>
      <c r="Q91" s="294">
        <f t="shared" si="36"/>
        <v>153.44901619290124</v>
      </c>
      <c r="R91" s="294">
        <f t="shared" si="36"/>
        <v>172.63014321701388</v>
      </c>
      <c r="S91" s="294">
        <f t="shared" si="36"/>
        <v>172.63014321701388</v>
      </c>
      <c r="T91" s="294">
        <f t="shared" si="36"/>
        <v>115.08676214467593</v>
      </c>
      <c r="U91" s="295">
        <f t="shared" si="36"/>
        <v>0</v>
      </c>
      <c r="V91" s="294">
        <f t="shared" si="36"/>
        <v>153.44901619290124</v>
      </c>
      <c r="W91" s="294">
        <f t="shared" si="36"/>
        <v>153.44901619290124</v>
      </c>
      <c r="X91" s="294">
        <f t="shared" si="36"/>
        <v>153.44901619290124</v>
      </c>
      <c r="Y91" s="294">
        <f t="shared" si="36"/>
        <v>172.63014321701388</v>
      </c>
      <c r="Z91" s="294">
        <f t="shared" si="36"/>
        <v>172.63014321701388</v>
      </c>
      <c r="AA91" s="294">
        <f t="shared" si="36"/>
        <v>115.08676214467593</v>
      </c>
      <c r="AB91" s="295"/>
      <c r="AC91" s="294">
        <f t="shared" si="37"/>
        <v>153.44901619290124</v>
      </c>
      <c r="AD91" s="294">
        <f t="shared" si="37"/>
        <v>153.44901619290124</v>
      </c>
      <c r="AE91" s="294">
        <f t="shared" si="37"/>
        <v>153.44901619290124</v>
      </c>
      <c r="AF91" s="294">
        <f t="shared" si="37"/>
        <v>172.63014321701388</v>
      </c>
      <c r="AG91" s="294">
        <f t="shared" si="37"/>
        <v>172.63014321701388</v>
      </c>
      <c r="AH91" s="294">
        <f t="shared" si="37"/>
        <v>115.08676214467593</v>
      </c>
      <c r="AI91" s="296">
        <f t="shared" si="29"/>
        <v>4143.1234372083327</v>
      </c>
    </row>
    <row r="92" spans="1:35" ht="12.75" customHeight="1">
      <c r="A92" s="259">
        <v>34</v>
      </c>
      <c r="B92" s="293">
        <f>VLOOKUP(C92,PROYECTADA!$Y$7:$AD$54,6,0)</f>
        <v>11.652481558641977</v>
      </c>
      <c r="C92" s="300" t="str">
        <f t="shared" si="22"/>
        <v>Mamani Mamani, Alejandro</v>
      </c>
      <c r="D92" s="294">
        <f t="shared" ref="D92:F106" si="38">IF(D40="F",0,+$B92*D40)</f>
        <v>93.219852469135816</v>
      </c>
      <c r="E92" s="294">
        <f t="shared" si="38"/>
        <v>93.219852469135816</v>
      </c>
      <c r="F92" s="294">
        <f t="shared" si="38"/>
        <v>93.219852469135816</v>
      </c>
      <c r="G92" s="295"/>
      <c r="H92" s="294">
        <f t="shared" ref="H92:M106" si="39">IF(H40="F",0,+$B92*H40)</f>
        <v>93.219852469135816</v>
      </c>
      <c r="I92" s="294">
        <f t="shared" si="39"/>
        <v>93.219852469135816</v>
      </c>
      <c r="J92" s="294">
        <f t="shared" si="39"/>
        <v>93.219852469135816</v>
      </c>
      <c r="K92" s="294">
        <f t="shared" si="39"/>
        <v>93.219852469135816</v>
      </c>
      <c r="L92" s="294">
        <f t="shared" si="39"/>
        <v>93.219852469135816</v>
      </c>
      <c r="M92" s="294">
        <f t="shared" si="39"/>
        <v>93.219852469135816</v>
      </c>
      <c r="N92" s="295"/>
      <c r="O92" s="294">
        <f t="shared" ref="O92:AA106" si="40">IF(O40="F",0,+$B92*O40)</f>
        <v>93.219852469135816</v>
      </c>
      <c r="P92" s="294">
        <f t="shared" si="40"/>
        <v>93.219852469135816</v>
      </c>
      <c r="Q92" s="294">
        <f t="shared" si="40"/>
        <v>93.219852469135816</v>
      </c>
      <c r="R92" s="294">
        <f t="shared" si="40"/>
        <v>93.219852469135816</v>
      </c>
      <c r="S92" s="294">
        <f t="shared" si="40"/>
        <v>93.219852469135816</v>
      </c>
      <c r="T92" s="294">
        <f t="shared" si="40"/>
        <v>93.219852469135816</v>
      </c>
      <c r="U92" s="295">
        <f t="shared" si="40"/>
        <v>0</v>
      </c>
      <c r="V92" s="294">
        <f t="shared" si="40"/>
        <v>93.219852469135816</v>
      </c>
      <c r="W92" s="294">
        <f t="shared" si="40"/>
        <v>93.219852469135816</v>
      </c>
      <c r="X92" s="294">
        <f t="shared" si="40"/>
        <v>93.219852469135816</v>
      </c>
      <c r="Y92" s="294">
        <f t="shared" si="40"/>
        <v>93.219852469135816</v>
      </c>
      <c r="Z92" s="294">
        <f t="shared" si="40"/>
        <v>93.219852469135816</v>
      </c>
      <c r="AA92" s="294">
        <f t="shared" si="40"/>
        <v>93.219852469135816</v>
      </c>
      <c r="AB92" s="295"/>
      <c r="AC92" s="294">
        <f t="shared" ref="AC92:AH106" si="41">IF(AC40="F",0,+$B92*AC40)</f>
        <v>93.219852469135816</v>
      </c>
      <c r="AD92" s="294">
        <f t="shared" si="41"/>
        <v>93.219852469135816</v>
      </c>
      <c r="AE92" s="294">
        <f t="shared" si="41"/>
        <v>93.219852469135816</v>
      </c>
      <c r="AF92" s="294">
        <f t="shared" si="41"/>
        <v>93.219852469135816</v>
      </c>
      <c r="AG92" s="294">
        <f t="shared" si="41"/>
        <v>93.219852469135816</v>
      </c>
      <c r="AH92" s="294">
        <f t="shared" si="41"/>
        <v>93.219852469135816</v>
      </c>
      <c r="AI92" s="296">
        <f t="shared" si="29"/>
        <v>2516.9360166666661</v>
      </c>
    </row>
    <row r="93" spans="1:35" ht="12.75" customHeight="1">
      <c r="A93" s="259">
        <v>35</v>
      </c>
      <c r="B93" s="293">
        <f>VLOOKUP(C93,PROYECTADA!$Y$7:$AD$54,6,0)</f>
        <v>11.391392746913585</v>
      </c>
      <c r="C93" s="305" t="str">
        <f t="shared" si="22"/>
        <v>Palaco Retamozo Alberto Gilberto</v>
      </c>
      <c r="D93" s="294">
        <f t="shared" si="38"/>
        <v>91.13114197530868</v>
      </c>
      <c r="E93" s="294">
        <f t="shared" si="38"/>
        <v>108.21823109567906</v>
      </c>
      <c r="F93" s="294">
        <f t="shared" si="38"/>
        <v>79.739749228395098</v>
      </c>
      <c r="G93" s="295"/>
      <c r="H93" s="294">
        <f t="shared" si="39"/>
        <v>96.826838348765477</v>
      </c>
      <c r="I93" s="294">
        <f t="shared" si="39"/>
        <v>96.826838348765477</v>
      </c>
      <c r="J93" s="294">
        <f t="shared" si="39"/>
        <v>96.826838348765477</v>
      </c>
      <c r="K93" s="294">
        <f t="shared" si="39"/>
        <v>96.826838348765477</v>
      </c>
      <c r="L93" s="294">
        <f t="shared" si="39"/>
        <v>79.739749228395098</v>
      </c>
      <c r="M93" s="294">
        <f t="shared" si="39"/>
        <v>79.739749228395098</v>
      </c>
      <c r="N93" s="295"/>
      <c r="O93" s="294">
        <f t="shared" si="40"/>
        <v>96.826838348765477</v>
      </c>
      <c r="P93" s="294">
        <f t="shared" si="40"/>
        <v>96.826838348765477</v>
      </c>
      <c r="Q93" s="294">
        <f t="shared" si="40"/>
        <v>96.826838348765477</v>
      </c>
      <c r="R93" s="294">
        <f t="shared" si="40"/>
        <v>108.21823109567906</v>
      </c>
      <c r="S93" s="294">
        <f t="shared" si="40"/>
        <v>108.21823109567906</v>
      </c>
      <c r="T93" s="294">
        <f t="shared" si="40"/>
        <v>79.739749228395098</v>
      </c>
      <c r="U93" s="295">
        <f t="shared" si="40"/>
        <v>0</v>
      </c>
      <c r="V93" s="294">
        <f t="shared" si="40"/>
        <v>96.826838348765477</v>
      </c>
      <c r="W93" s="294">
        <f t="shared" si="40"/>
        <v>96.826838348765477</v>
      </c>
      <c r="X93" s="294">
        <f t="shared" si="40"/>
        <v>96.826838348765477</v>
      </c>
      <c r="Y93" s="294">
        <f t="shared" si="40"/>
        <v>0</v>
      </c>
      <c r="Z93" s="294">
        <f t="shared" si="40"/>
        <v>108.21823109567906</v>
      </c>
      <c r="AA93" s="294">
        <f t="shared" si="40"/>
        <v>79.739749228395098</v>
      </c>
      <c r="AB93" s="295"/>
      <c r="AC93" s="294">
        <f t="shared" si="41"/>
        <v>108.21823109567906</v>
      </c>
      <c r="AD93" s="294">
        <f t="shared" si="41"/>
        <v>96.826838348765477</v>
      </c>
      <c r="AE93" s="294">
        <f t="shared" si="41"/>
        <v>91.13114197530868</v>
      </c>
      <c r="AF93" s="294">
        <f t="shared" si="41"/>
        <v>91.13114197530868</v>
      </c>
      <c r="AG93" s="294">
        <f t="shared" si="41"/>
        <v>108.21823109567906</v>
      </c>
      <c r="AH93" s="294">
        <f t="shared" si="41"/>
        <v>74.0440528549383</v>
      </c>
      <c r="AI93" s="296">
        <f t="shared" si="29"/>
        <v>2460.5408333333353</v>
      </c>
    </row>
    <row r="94" spans="1:35" ht="12.75" customHeight="1">
      <c r="A94" s="258">
        <v>36</v>
      </c>
      <c r="B94" s="293">
        <f>VLOOKUP(C94,PROYECTADA!$Y$7:$AD$54,6,0)</f>
        <v>11.189518595679013</v>
      </c>
      <c r="C94" s="300" t="str">
        <f t="shared" si="22"/>
        <v>Perca Mamani Julio Alberto</v>
      </c>
      <c r="D94" s="294">
        <f t="shared" si="38"/>
        <v>89.516148765432106</v>
      </c>
      <c r="E94" s="294">
        <f t="shared" si="38"/>
        <v>89.516148765432106</v>
      </c>
      <c r="F94" s="294">
        <f t="shared" si="38"/>
        <v>89.516148765432106</v>
      </c>
      <c r="G94" s="295"/>
      <c r="H94" s="294">
        <f t="shared" si="39"/>
        <v>89.516148765432106</v>
      </c>
      <c r="I94" s="294">
        <f t="shared" si="39"/>
        <v>89.516148765432106</v>
      </c>
      <c r="J94" s="294">
        <f t="shared" si="39"/>
        <v>89.516148765432106</v>
      </c>
      <c r="K94" s="294">
        <f t="shared" si="39"/>
        <v>89.516148765432106</v>
      </c>
      <c r="L94" s="294">
        <f t="shared" si="39"/>
        <v>89.516148765432106</v>
      </c>
      <c r="M94" s="294">
        <f t="shared" si="39"/>
        <v>89.516148765432106</v>
      </c>
      <c r="N94" s="295"/>
      <c r="O94" s="294">
        <f t="shared" si="40"/>
        <v>89.516148765432106</v>
      </c>
      <c r="P94" s="294">
        <f t="shared" si="40"/>
        <v>89.516148765432106</v>
      </c>
      <c r="Q94" s="294">
        <f t="shared" si="40"/>
        <v>89.516148765432106</v>
      </c>
      <c r="R94" s="294">
        <f t="shared" si="40"/>
        <v>89.516148765432106</v>
      </c>
      <c r="S94" s="294">
        <f t="shared" si="40"/>
        <v>89.516148765432106</v>
      </c>
      <c r="T94" s="294">
        <f t="shared" si="40"/>
        <v>89.516148765432106</v>
      </c>
      <c r="U94" s="295">
        <f t="shared" si="40"/>
        <v>0</v>
      </c>
      <c r="V94" s="294">
        <f t="shared" si="40"/>
        <v>89.516148765432106</v>
      </c>
      <c r="W94" s="294">
        <f t="shared" si="40"/>
        <v>89.516148765432106</v>
      </c>
      <c r="X94" s="294">
        <f t="shared" si="40"/>
        <v>89.516148765432106</v>
      </c>
      <c r="Y94" s="294">
        <f t="shared" si="40"/>
        <v>89.516148765432106</v>
      </c>
      <c r="Z94" s="294">
        <f t="shared" si="40"/>
        <v>89.516148765432106</v>
      </c>
      <c r="AA94" s="294">
        <f t="shared" si="40"/>
        <v>89.516148765432106</v>
      </c>
      <c r="AB94" s="295"/>
      <c r="AC94" s="294">
        <f t="shared" si="41"/>
        <v>89.516148765432106</v>
      </c>
      <c r="AD94" s="294">
        <f t="shared" si="41"/>
        <v>89.516148765432106</v>
      </c>
      <c r="AE94" s="294">
        <f t="shared" si="41"/>
        <v>89.516148765432106</v>
      </c>
      <c r="AF94" s="294">
        <f t="shared" si="41"/>
        <v>89.516148765432106</v>
      </c>
      <c r="AG94" s="294">
        <f t="shared" si="41"/>
        <v>89.516148765432106</v>
      </c>
      <c r="AH94" s="294">
        <f t="shared" si="41"/>
        <v>89.516148765432106</v>
      </c>
      <c r="AI94" s="296">
        <f t="shared" si="29"/>
        <v>2416.936016666667</v>
      </c>
    </row>
    <row r="95" spans="1:35" ht="12.75" customHeight="1">
      <c r="A95" s="258">
        <v>37</v>
      </c>
      <c r="B95" s="293">
        <f>VLOOKUP(C95,PROYECTADA!$Y$7:$AD$54,6,0)</f>
        <v>11.189518595679013</v>
      </c>
      <c r="C95" s="306" t="str">
        <f t="shared" si="22"/>
        <v>Quispe Belizario Alvaro</v>
      </c>
      <c r="D95" s="294">
        <f t="shared" si="38"/>
        <v>89.516148765432106</v>
      </c>
      <c r="E95" s="294">
        <f t="shared" si="38"/>
        <v>106.30042665895063</v>
      </c>
      <c r="F95" s="294">
        <f t="shared" si="38"/>
        <v>78.326630169753088</v>
      </c>
      <c r="G95" s="295"/>
      <c r="H95" s="294">
        <f t="shared" si="39"/>
        <v>95.110908063271609</v>
      </c>
      <c r="I95" s="294">
        <f t="shared" si="39"/>
        <v>95.110908063271609</v>
      </c>
      <c r="J95" s="294">
        <f t="shared" si="39"/>
        <v>95.110908063271609</v>
      </c>
      <c r="K95" s="294">
        <f t="shared" si="39"/>
        <v>95.110908063271609</v>
      </c>
      <c r="L95" s="294">
        <f t="shared" si="39"/>
        <v>117.48994525462965</v>
      </c>
      <c r="M95" s="294">
        <f t="shared" si="39"/>
        <v>55.947592978395065</v>
      </c>
      <c r="N95" s="295"/>
      <c r="O95" s="294">
        <f t="shared" si="40"/>
        <v>95.110908063271609</v>
      </c>
      <c r="P95" s="294">
        <f t="shared" si="40"/>
        <v>95.110908063271609</v>
      </c>
      <c r="Q95" s="294">
        <f t="shared" si="40"/>
        <v>95.110908063271609</v>
      </c>
      <c r="R95" s="294">
        <f t="shared" si="40"/>
        <v>106.30042665895063</v>
      </c>
      <c r="S95" s="294">
        <f t="shared" si="40"/>
        <v>106.30042665895063</v>
      </c>
      <c r="T95" s="294">
        <f t="shared" si="40"/>
        <v>78.326630169753088</v>
      </c>
      <c r="U95" s="295">
        <f t="shared" si="40"/>
        <v>0</v>
      </c>
      <c r="V95" s="294">
        <f t="shared" si="40"/>
        <v>95.110908063271609</v>
      </c>
      <c r="W95" s="294">
        <f t="shared" si="40"/>
        <v>95.110908063271609</v>
      </c>
      <c r="X95" s="294">
        <f t="shared" si="40"/>
        <v>95.110908063271609</v>
      </c>
      <c r="Y95" s="294">
        <f t="shared" si="40"/>
        <v>33.568555787037042</v>
      </c>
      <c r="Z95" s="294">
        <f t="shared" si="40"/>
        <v>100.70566736111113</v>
      </c>
      <c r="AA95" s="294">
        <f t="shared" si="40"/>
        <v>0</v>
      </c>
      <c r="AB95" s="295"/>
      <c r="AC95" s="294">
        <f t="shared" si="41"/>
        <v>95.110908063271609</v>
      </c>
      <c r="AD95" s="294">
        <f t="shared" si="41"/>
        <v>95.110908063271609</v>
      </c>
      <c r="AE95" s="294">
        <f t="shared" si="41"/>
        <v>89.516148765432106</v>
      </c>
      <c r="AF95" s="294">
        <f t="shared" si="41"/>
        <v>78.326630169753088</v>
      </c>
      <c r="AG95" s="294">
        <f t="shared" si="41"/>
        <v>100.70566736111113</v>
      </c>
      <c r="AH95" s="294">
        <f t="shared" si="41"/>
        <v>134.27422314814817</v>
      </c>
      <c r="AI95" s="296">
        <f t="shared" si="29"/>
        <v>2416.9360166666665</v>
      </c>
    </row>
    <row r="96" spans="1:35" ht="12.75" customHeight="1">
      <c r="A96" s="258">
        <v>38</v>
      </c>
      <c r="B96" s="293">
        <f>VLOOKUP(C96,PROYECTADA!$Y$7:$AD$54,6,0)</f>
        <v>10.401248070987654</v>
      </c>
      <c r="C96" s="300" t="str">
        <f t="shared" si="22"/>
        <v>Quispe Quispe Luis</v>
      </c>
      <c r="D96" s="294">
        <f t="shared" si="38"/>
        <v>83.20998456790123</v>
      </c>
      <c r="E96" s="294">
        <f t="shared" si="38"/>
        <v>93.611232638888879</v>
      </c>
      <c r="F96" s="294">
        <f t="shared" si="38"/>
        <v>72.808736496913582</v>
      </c>
      <c r="G96" s="295"/>
      <c r="H96" s="294">
        <f t="shared" si="39"/>
        <v>83.20998456790123</v>
      </c>
      <c r="I96" s="294">
        <f t="shared" si="39"/>
        <v>83.20998456790123</v>
      </c>
      <c r="J96" s="294">
        <f t="shared" si="39"/>
        <v>83.20998456790123</v>
      </c>
      <c r="K96" s="294">
        <f t="shared" si="39"/>
        <v>93.611232638888879</v>
      </c>
      <c r="L96" s="294">
        <f t="shared" si="39"/>
        <v>93.611232638888879</v>
      </c>
      <c r="M96" s="294">
        <f t="shared" si="39"/>
        <v>62.407488425925919</v>
      </c>
      <c r="N96" s="295"/>
      <c r="O96" s="294">
        <f t="shared" si="40"/>
        <v>83.20998456790123</v>
      </c>
      <c r="P96" s="294">
        <f t="shared" si="40"/>
        <v>83.20998456790123</v>
      </c>
      <c r="Q96" s="294">
        <f t="shared" si="40"/>
        <v>83.20998456790123</v>
      </c>
      <c r="R96" s="294">
        <f t="shared" si="40"/>
        <v>93.611232638888879</v>
      </c>
      <c r="S96" s="294">
        <f t="shared" si="40"/>
        <v>93.611232638888879</v>
      </c>
      <c r="T96" s="294">
        <f t="shared" si="40"/>
        <v>62.407488425925919</v>
      </c>
      <c r="U96" s="295">
        <f t="shared" si="40"/>
        <v>0</v>
      </c>
      <c r="V96" s="294">
        <f t="shared" si="40"/>
        <v>83.20998456790123</v>
      </c>
      <c r="W96" s="294">
        <f t="shared" si="40"/>
        <v>83.20998456790123</v>
      </c>
      <c r="X96" s="294">
        <f t="shared" si="40"/>
        <v>83.20998456790123</v>
      </c>
      <c r="Y96" s="294">
        <f t="shared" si="40"/>
        <v>93.611232638888879</v>
      </c>
      <c r="Z96" s="294">
        <f t="shared" si="40"/>
        <v>93.611232638888879</v>
      </c>
      <c r="AA96" s="294">
        <f t="shared" si="40"/>
        <v>62.407488425925919</v>
      </c>
      <c r="AB96" s="295"/>
      <c r="AC96" s="294">
        <f t="shared" si="41"/>
        <v>83.20998456790123</v>
      </c>
      <c r="AD96" s="294">
        <f t="shared" si="41"/>
        <v>83.20998456790123</v>
      </c>
      <c r="AE96" s="294">
        <f t="shared" si="41"/>
        <v>83.20998456790123</v>
      </c>
      <c r="AF96" s="294">
        <f t="shared" si="41"/>
        <v>93.611232638888879</v>
      </c>
      <c r="AG96" s="294">
        <f t="shared" si="41"/>
        <v>93.611232638888879</v>
      </c>
      <c r="AH96" s="294">
        <f t="shared" si="41"/>
        <v>62.407488425925919</v>
      </c>
      <c r="AI96" s="296">
        <f t="shared" si="29"/>
        <v>2246.6695833333333</v>
      </c>
    </row>
    <row r="97" spans="1:47" ht="12.75" customHeight="1">
      <c r="A97" s="258">
        <v>39</v>
      </c>
      <c r="B97" s="293">
        <f>VLOOKUP(C97,PROYECTADA!$Y$7:$AD$54,6,0)</f>
        <v>10.327187731481482</v>
      </c>
      <c r="C97" s="300" t="str">
        <f t="shared" si="22"/>
        <v>Reynoso Gamero Rufino</v>
      </c>
      <c r="D97" s="294">
        <f t="shared" si="38"/>
        <v>82.617501851851856</v>
      </c>
      <c r="E97" s="294">
        <f t="shared" si="38"/>
        <v>92.944689583333343</v>
      </c>
      <c r="F97" s="294">
        <f t="shared" si="38"/>
        <v>72.290314120370368</v>
      </c>
      <c r="G97" s="295"/>
      <c r="H97" s="294">
        <f t="shared" si="39"/>
        <v>82.617501851851856</v>
      </c>
      <c r="I97" s="294">
        <f t="shared" si="39"/>
        <v>82.617501851851856</v>
      </c>
      <c r="J97" s="294">
        <f t="shared" si="39"/>
        <v>82.617501851851856</v>
      </c>
      <c r="K97" s="294">
        <f t="shared" si="39"/>
        <v>0</v>
      </c>
      <c r="L97" s="294">
        <f t="shared" si="39"/>
        <v>92.944689583333343</v>
      </c>
      <c r="M97" s="294">
        <f t="shared" si="39"/>
        <v>61.963126388888895</v>
      </c>
      <c r="N97" s="295"/>
      <c r="O97" s="294">
        <f t="shared" si="40"/>
        <v>82.617501851851856</v>
      </c>
      <c r="P97" s="294">
        <f t="shared" si="40"/>
        <v>82.617501851851856</v>
      </c>
      <c r="Q97" s="294">
        <f t="shared" si="40"/>
        <v>82.617501851851856</v>
      </c>
      <c r="R97" s="294">
        <f t="shared" si="40"/>
        <v>92.944689583333343</v>
      </c>
      <c r="S97" s="294">
        <f t="shared" si="40"/>
        <v>92.944689583333343</v>
      </c>
      <c r="T97" s="294">
        <f t="shared" si="40"/>
        <v>61.963126388888895</v>
      </c>
      <c r="U97" s="295">
        <f t="shared" si="40"/>
        <v>0</v>
      </c>
      <c r="V97" s="294">
        <f t="shared" si="40"/>
        <v>82.617501851851856</v>
      </c>
      <c r="W97" s="294">
        <f t="shared" si="40"/>
        <v>82.617501851851856</v>
      </c>
      <c r="X97" s="294">
        <f t="shared" si="40"/>
        <v>82.617501851851856</v>
      </c>
      <c r="Y97" s="294">
        <f t="shared" si="40"/>
        <v>92.944689583333343</v>
      </c>
      <c r="Z97" s="294">
        <f t="shared" si="40"/>
        <v>92.944689583333343</v>
      </c>
      <c r="AA97" s="294">
        <f t="shared" si="40"/>
        <v>61.963126388888895</v>
      </c>
      <c r="AB97" s="295"/>
      <c r="AC97" s="294">
        <f t="shared" si="41"/>
        <v>82.617501851851856</v>
      </c>
      <c r="AD97" s="294">
        <f t="shared" si="41"/>
        <v>82.617501851851856</v>
      </c>
      <c r="AE97" s="294">
        <f t="shared" si="41"/>
        <v>82.617501851851856</v>
      </c>
      <c r="AF97" s="294">
        <f t="shared" si="41"/>
        <v>92.944689583333343</v>
      </c>
      <c r="AG97" s="294">
        <f t="shared" si="41"/>
        <v>92.944689583333343</v>
      </c>
      <c r="AH97" s="294">
        <f t="shared" si="41"/>
        <v>61.963126388888895</v>
      </c>
      <c r="AI97" s="296">
        <f t="shared" si="29"/>
        <v>2137.7278604166668</v>
      </c>
    </row>
    <row r="98" spans="1:47" ht="12.75" customHeight="1">
      <c r="A98" s="259">
        <v>40</v>
      </c>
      <c r="B98" s="293">
        <f>VLOOKUP(C98,PROYECTADA!$Y$7:$AD$54,6,0)</f>
        <v>11.383092129629633</v>
      </c>
      <c r="C98" s="300" t="str">
        <f t="shared" si="22"/>
        <v xml:space="preserve">Rivera Ramos Elmer Delis </v>
      </c>
      <c r="D98" s="294">
        <f t="shared" si="38"/>
        <v>91.064737037037062</v>
      </c>
      <c r="E98" s="294">
        <f t="shared" si="38"/>
        <v>91.064737037037062</v>
      </c>
      <c r="F98" s="294">
        <f t="shared" si="38"/>
        <v>91.064737037037062</v>
      </c>
      <c r="G98" s="295"/>
      <c r="H98" s="294">
        <f t="shared" si="39"/>
        <v>91.064737037037062</v>
      </c>
      <c r="I98" s="294">
        <f t="shared" si="39"/>
        <v>91.064737037037062</v>
      </c>
      <c r="J98" s="294">
        <f t="shared" si="39"/>
        <v>91.064737037037062</v>
      </c>
      <c r="K98" s="294">
        <f t="shared" si="39"/>
        <v>91.064737037037062</v>
      </c>
      <c r="L98" s="294">
        <f t="shared" si="39"/>
        <v>91.064737037037062</v>
      </c>
      <c r="M98" s="294">
        <f t="shared" si="39"/>
        <v>91.064737037037062</v>
      </c>
      <c r="N98" s="295"/>
      <c r="O98" s="294">
        <f t="shared" si="40"/>
        <v>91.064737037037062</v>
      </c>
      <c r="P98" s="294">
        <f t="shared" si="40"/>
        <v>91.064737037037062</v>
      </c>
      <c r="Q98" s="294">
        <f t="shared" si="40"/>
        <v>91.064737037037062</v>
      </c>
      <c r="R98" s="294">
        <f t="shared" si="40"/>
        <v>91.064737037037062</v>
      </c>
      <c r="S98" s="294">
        <f t="shared" si="40"/>
        <v>91.064737037037062</v>
      </c>
      <c r="T98" s="294">
        <f t="shared" si="40"/>
        <v>91.064737037037062</v>
      </c>
      <c r="U98" s="295">
        <f t="shared" si="40"/>
        <v>0</v>
      </c>
      <c r="V98" s="294">
        <f t="shared" si="40"/>
        <v>91.064737037037062</v>
      </c>
      <c r="W98" s="294">
        <f t="shared" si="40"/>
        <v>91.064737037037062</v>
      </c>
      <c r="X98" s="294">
        <f t="shared" si="40"/>
        <v>91.064737037037062</v>
      </c>
      <c r="Y98" s="294">
        <f t="shared" si="40"/>
        <v>91.064737037037062</v>
      </c>
      <c r="Z98" s="294">
        <f t="shared" si="40"/>
        <v>91.064737037037062</v>
      </c>
      <c r="AA98" s="294">
        <f t="shared" si="40"/>
        <v>91.064737037037062</v>
      </c>
      <c r="AB98" s="295"/>
      <c r="AC98" s="294">
        <f t="shared" si="41"/>
        <v>91.064737037037062</v>
      </c>
      <c r="AD98" s="294">
        <f t="shared" si="41"/>
        <v>91.064737037037062</v>
      </c>
      <c r="AE98" s="294">
        <f t="shared" si="41"/>
        <v>91.064737037037062</v>
      </c>
      <c r="AF98" s="294">
        <f t="shared" si="41"/>
        <v>91.064737037037062</v>
      </c>
      <c r="AG98" s="294">
        <f t="shared" si="41"/>
        <v>91.064737037037062</v>
      </c>
      <c r="AH98" s="294">
        <f t="shared" si="41"/>
        <v>91.064737037037062</v>
      </c>
      <c r="AI98" s="296">
        <f t="shared" si="29"/>
        <v>2458.7479000000008</v>
      </c>
    </row>
    <row r="99" spans="1:47" ht="12.9" customHeight="1">
      <c r="A99" s="259">
        <v>41</v>
      </c>
      <c r="B99" s="293">
        <f>VLOOKUP(C99,PROYECTADA!$Y$7:$AD$54,6,0)</f>
        <v>11.021632175925927</v>
      </c>
      <c r="C99" s="300" t="str">
        <f t="shared" si="22"/>
        <v>Soncco Soncco, Santos Evaristo</v>
      </c>
      <c r="D99" s="294">
        <f t="shared" si="38"/>
        <v>88.173057407407413</v>
      </c>
      <c r="E99" s="294">
        <f t="shared" si="38"/>
        <v>88.173057407407413</v>
      </c>
      <c r="F99" s="294">
        <f t="shared" si="38"/>
        <v>88.173057407407413</v>
      </c>
      <c r="G99" s="295"/>
      <c r="H99" s="294">
        <f t="shared" si="39"/>
        <v>88.173057407407413</v>
      </c>
      <c r="I99" s="294">
        <f t="shared" si="39"/>
        <v>88.173057407407413</v>
      </c>
      <c r="J99" s="294">
        <f t="shared" si="39"/>
        <v>88.173057407407413</v>
      </c>
      <c r="K99" s="294">
        <f t="shared" si="39"/>
        <v>88.173057407407413</v>
      </c>
      <c r="L99" s="294">
        <f t="shared" si="39"/>
        <v>88.173057407407413</v>
      </c>
      <c r="M99" s="294">
        <f t="shared" si="39"/>
        <v>88.173057407407413</v>
      </c>
      <c r="N99" s="295"/>
      <c r="O99" s="294">
        <f t="shared" si="40"/>
        <v>88.173057407407413</v>
      </c>
      <c r="P99" s="294">
        <f t="shared" si="40"/>
        <v>88.173057407407413</v>
      </c>
      <c r="Q99" s="294">
        <f t="shared" si="40"/>
        <v>88.173057407407413</v>
      </c>
      <c r="R99" s="294">
        <f t="shared" si="40"/>
        <v>88.173057407407413</v>
      </c>
      <c r="S99" s="294">
        <f t="shared" si="40"/>
        <v>88.173057407407413</v>
      </c>
      <c r="T99" s="294">
        <f t="shared" si="40"/>
        <v>88.173057407407413</v>
      </c>
      <c r="U99" s="295">
        <f t="shared" si="40"/>
        <v>0</v>
      </c>
      <c r="V99" s="294">
        <f t="shared" si="40"/>
        <v>88.173057407407413</v>
      </c>
      <c r="W99" s="294">
        <f t="shared" si="40"/>
        <v>88.173057407407413</v>
      </c>
      <c r="X99" s="294">
        <f t="shared" si="40"/>
        <v>88.173057407407413</v>
      </c>
      <c r="Y99" s="294">
        <f t="shared" si="40"/>
        <v>88.173057407407413</v>
      </c>
      <c r="Z99" s="294">
        <f t="shared" si="40"/>
        <v>88.173057407407413</v>
      </c>
      <c r="AA99" s="294">
        <f t="shared" si="40"/>
        <v>88.173057407407413</v>
      </c>
      <c r="AB99" s="295"/>
      <c r="AC99" s="294">
        <f t="shared" si="41"/>
        <v>88.173057407407413</v>
      </c>
      <c r="AD99" s="294">
        <f t="shared" si="41"/>
        <v>88.173057407407413</v>
      </c>
      <c r="AE99" s="294">
        <f t="shared" si="41"/>
        <v>88.173057407407413</v>
      </c>
      <c r="AF99" s="294">
        <f t="shared" si="41"/>
        <v>88.173057407407413</v>
      </c>
      <c r="AG99" s="294">
        <f t="shared" si="41"/>
        <v>88.173057407407413</v>
      </c>
      <c r="AH99" s="294">
        <f t="shared" si="41"/>
        <v>88.173057407407413</v>
      </c>
      <c r="AI99" s="296">
        <f t="shared" si="29"/>
        <v>2380.6725499999998</v>
      </c>
    </row>
    <row r="100" spans="1:47" ht="12.9" customHeight="1">
      <c r="A100" s="258">
        <v>42</v>
      </c>
      <c r="B100" s="293">
        <f>VLOOKUP(C100,PROYECTADA!$Y$7:$AD$54,6,0)</f>
        <v>11.202650154320994</v>
      </c>
      <c r="C100" s="300" t="str">
        <f t="shared" si="22"/>
        <v>Ttito Tapara, Jose Pascual</v>
      </c>
      <c r="D100" s="294">
        <f t="shared" si="38"/>
        <v>89.621201234567948</v>
      </c>
      <c r="E100" s="294">
        <f t="shared" si="38"/>
        <v>100.82385138888894</v>
      </c>
      <c r="F100" s="294">
        <f t="shared" si="38"/>
        <v>78.418551080246957</v>
      </c>
      <c r="G100" s="295"/>
      <c r="H100" s="294">
        <f t="shared" si="39"/>
        <v>89.621201234567948</v>
      </c>
      <c r="I100" s="294">
        <f t="shared" si="39"/>
        <v>89.621201234567948</v>
      </c>
      <c r="J100" s="294">
        <f t="shared" si="39"/>
        <v>89.621201234567948</v>
      </c>
      <c r="K100" s="294">
        <f t="shared" si="39"/>
        <v>100.82385138888894</v>
      </c>
      <c r="L100" s="294">
        <f t="shared" si="39"/>
        <v>100.82385138888894</v>
      </c>
      <c r="M100" s="294">
        <f t="shared" si="39"/>
        <v>67.215900925925965</v>
      </c>
      <c r="N100" s="295"/>
      <c r="O100" s="294">
        <f t="shared" si="40"/>
        <v>89.621201234567948</v>
      </c>
      <c r="P100" s="294">
        <f t="shared" si="40"/>
        <v>89.621201234567948</v>
      </c>
      <c r="Q100" s="294">
        <f t="shared" si="40"/>
        <v>89.621201234567948</v>
      </c>
      <c r="R100" s="294">
        <f t="shared" si="40"/>
        <v>100.82385138888894</v>
      </c>
      <c r="S100" s="294">
        <f t="shared" si="40"/>
        <v>100.82385138888894</v>
      </c>
      <c r="T100" s="294">
        <f t="shared" si="40"/>
        <v>67.215900925925965</v>
      </c>
      <c r="U100" s="295">
        <f t="shared" si="40"/>
        <v>0</v>
      </c>
      <c r="V100" s="294">
        <f t="shared" si="40"/>
        <v>89.621201234567948</v>
      </c>
      <c r="W100" s="294">
        <f t="shared" si="40"/>
        <v>89.621201234567948</v>
      </c>
      <c r="X100" s="294">
        <f t="shared" si="40"/>
        <v>89.621201234567948</v>
      </c>
      <c r="Y100" s="294">
        <f t="shared" si="40"/>
        <v>100.82385138888894</v>
      </c>
      <c r="Z100" s="294">
        <f t="shared" si="40"/>
        <v>100.82385138888894</v>
      </c>
      <c r="AA100" s="294">
        <f t="shared" si="40"/>
        <v>67.215900925925965</v>
      </c>
      <c r="AB100" s="295"/>
      <c r="AC100" s="294">
        <f t="shared" si="41"/>
        <v>89.621201234567948</v>
      </c>
      <c r="AD100" s="294">
        <f t="shared" si="41"/>
        <v>89.621201234567948</v>
      </c>
      <c r="AE100" s="294">
        <f t="shared" si="41"/>
        <v>89.621201234567948</v>
      </c>
      <c r="AF100" s="294">
        <f t="shared" si="41"/>
        <v>100.82385138888894</v>
      </c>
      <c r="AG100" s="294">
        <f t="shared" si="41"/>
        <v>100.82385138888894</v>
      </c>
      <c r="AH100" s="294">
        <f t="shared" si="41"/>
        <v>67.215900925925965</v>
      </c>
      <c r="AI100" s="296">
        <f t="shared" si="29"/>
        <v>2419.7724333333349</v>
      </c>
    </row>
    <row r="101" spans="1:47" ht="12.9" customHeight="1">
      <c r="A101" s="258">
        <v>43</v>
      </c>
      <c r="B101" s="293">
        <f>VLOOKUP(C101,PROYECTADA!$Y$7:$AD$54,6,0)</f>
        <v>11.106007253086423</v>
      </c>
      <c r="C101" s="300" t="str">
        <f t="shared" si="22"/>
        <v>Turpo Quispe Yury</v>
      </c>
      <c r="D101" s="294">
        <f t="shared" si="38"/>
        <v>88.848058024691383</v>
      </c>
      <c r="E101" s="294">
        <f t="shared" si="38"/>
        <v>99.954065277777801</v>
      </c>
      <c r="F101" s="294">
        <f t="shared" si="38"/>
        <v>77.742050771604966</v>
      </c>
      <c r="G101" s="295"/>
      <c r="H101" s="294">
        <f t="shared" si="39"/>
        <v>88.848058024691383</v>
      </c>
      <c r="I101" s="294">
        <f t="shared" si="39"/>
        <v>88.848058024691383</v>
      </c>
      <c r="J101" s="294">
        <f t="shared" si="39"/>
        <v>88.848058024691383</v>
      </c>
      <c r="K101" s="294">
        <f t="shared" si="39"/>
        <v>99.954065277777801</v>
      </c>
      <c r="L101" s="294">
        <f t="shared" si="39"/>
        <v>99.954065277777801</v>
      </c>
      <c r="M101" s="294">
        <f t="shared" si="39"/>
        <v>66.636043518518534</v>
      </c>
      <c r="N101" s="295"/>
      <c r="O101" s="294">
        <f t="shared" si="40"/>
        <v>88.848058024691383</v>
      </c>
      <c r="P101" s="294">
        <f t="shared" si="40"/>
        <v>88.848058024691383</v>
      </c>
      <c r="Q101" s="294">
        <f t="shared" si="40"/>
        <v>88.848058024691383</v>
      </c>
      <c r="R101" s="294">
        <f t="shared" si="40"/>
        <v>99.954065277777801</v>
      </c>
      <c r="S101" s="294">
        <f t="shared" si="40"/>
        <v>99.954065277777801</v>
      </c>
      <c r="T101" s="294">
        <f t="shared" si="40"/>
        <v>66.636043518518534</v>
      </c>
      <c r="U101" s="295">
        <f t="shared" si="40"/>
        <v>0</v>
      </c>
      <c r="V101" s="294">
        <f t="shared" si="40"/>
        <v>88.848058024691383</v>
      </c>
      <c r="W101" s="294">
        <f t="shared" si="40"/>
        <v>88.848058024691383</v>
      </c>
      <c r="X101" s="294">
        <f t="shared" si="40"/>
        <v>88.848058024691383</v>
      </c>
      <c r="Y101" s="294">
        <f t="shared" si="40"/>
        <v>99.954065277777801</v>
      </c>
      <c r="Z101" s="294">
        <f t="shared" si="40"/>
        <v>99.954065277777801</v>
      </c>
      <c r="AA101" s="294">
        <f t="shared" si="40"/>
        <v>66.636043518518534</v>
      </c>
      <c r="AB101" s="295"/>
      <c r="AC101" s="294">
        <f t="shared" si="41"/>
        <v>88.848058024691383</v>
      </c>
      <c r="AD101" s="294">
        <f t="shared" si="41"/>
        <v>88.848058024691383</v>
      </c>
      <c r="AE101" s="294">
        <f t="shared" si="41"/>
        <v>88.848058024691383</v>
      </c>
      <c r="AF101" s="294">
        <f t="shared" si="41"/>
        <v>99.954065277777801</v>
      </c>
      <c r="AG101" s="294">
        <f t="shared" si="41"/>
        <v>99.954065277777801</v>
      </c>
      <c r="AH101" s="294">
        <f t="shared" si="41"/>
        <v>66.636043518518534</v>
      </c>
      <c r="AI101" s="296">
        <f t="shared" si="29"/>
        <v>2398.8975666666674</v>
      </c>
    </row>
    <row r="102" spans="1:47" ht="12.9" customHeight="1">
      <c r="A102" s="258">
        <v>44</v>
      </c>
      <c r="B102" s="293">
        <f>VLOOKUP(C102,PROYECTADA!$Y$7:$AD$54,6,0)</f>
        <v>11.391392746913585</v>
      </c>
      <c r="C102" s="306" t="str">
        <f t="shared" si="22"/>
        <v>Zea Mamani, Ignacio</v>
      </c>
      <c r="D102" s="294">
        <f t="shared" si="38"/>
        <v>91.13114197530868</v>
      </c>
      <c r="E102" s="294">
        <f t="shared" si="38"/>
        <v>102.52253472222226</v>
      </c>
      <c r="F102" s="294">
        <f t="shared" si="38"/>
        <v>102.52253472222226</v>
      </c>
      <c r="G102" s="295"/>
      <c r="H102" s="294">
        <f t="shared" si="39"/>
        <v>91.13114197530868</v>
      </c>
      <c r="I102" s="294">
        <f t="shared" si="39"/>
        <v>91.13114197530868</v>
      </c>
      <c r="J102" s="294">
        <f t="shared" si="39"/>
        <v>91.13114197530868</v>
      </c>
      <c r="K102" s="294">
        <f t="shared" si="39"/>
        <v>0</v>
      </c>
      <c r="L102" s="294">
        <f t="shared" si="39"/>
        <v>113.91392746913584</v>
      </c>
      <c r="M102" s="294">
        <f t="shared" si="39"/>
        <v>79.739749228395098</v>
      </c>
      <c r="N102" s="295"/>
      <c r="O102" s="294">
        <f t="shared" si="40"/>
        <v>91.13114197530868</v>
      </c>
      <c r="P102" s="294">
        <f t="shared" si="40"/>
        <v>91.13114197530868</v>
      </c>
      <c r="Q102" s="294">
        <f t="shared" si="40"/>
        <v>91.13114197530868</v>
      </c>
      <c r="R102" s="294">
        <f t="shared" si="40"/>
        <v>102.52253472222226</v>
      </c>
      <c r="S102" s="294">
        <f t="shared" si="40"/>
        <v>108.21823109567906</v>
      </c>
      <c r="T102" s="294">
        <f t="shared" si="40"/>
        <v>79.739749228395098</v>
      </c>
      <c r="U102" s="295">
        <f t="shared" si="40"/>
        <v>0</v>
      </c>
      <c r="V102" s="294">
        <f t="shared" si="40"/>
        <v>91.13114197530868</v>
      </c>
      <c r="W102" s="294">
        <f t="shared" si="40"/>
        <v>96.826838348765477</v>
      </c>
      <c r="X102" s="294">
        <f t="shared" si="40"/>
        <v>45.56557098765434</v>
      </c>
      <c r="Y102" s="294">
        <f t="shared" si="40"/>
        <v>108.21823109567906</v>
      </c>
      <c r="Z102" s="294">
        <f t="shared" si="40"/>
        <v>108.21823109567906</v>
      </c>
      <c r="AA102" s="294">
        <f t="shared" si="40"/>
        <v>79.739749228395098</v>
      </c>
      <c r="AB102" s="295"/>
      <c r="AC102" s="294">
        <f t="shared" si="41"/>
        <v>102.52253472222226</v>
      </c>
      <c r="AD102" s="294">
        <f t="shared" si="41"/>
        <v>91.13114197530868</v>
      </c>
      <c r="AE102" s="294">
        <f t="shared" si="41"/>
        <v>91.13114197530868</v>
      </c>
      <c r="AF102" s="294">
        <f t="shared" si="41"/>
        <v>91.13114197530868</v>
      </c>
      <c r="AG102" s="294">
        <f t="shared" si="41"/>
        <v>102.52253472222226</v>
      </c>
      <c r="AH102" s="294">
        <f t="shared" si="41"/>
        <v>125.30532021604944</v>
      </c>
      <c r="AI102" s="296">
        <f t="shared" si="29"/>
        <v>2460.5408333333348</v>
      </c>
    </row>
    <row r="103" spans="1:47" ht="12.9" customHeight="1">
      <c r="A103" s="258">
        <v>45</v>
      </c>
      <c r="B103" s="293">
        <f>VLOOKUP(C103,PROYECTADA!$Y$7:$AD$54,6,0)</f>
        <v>11.189946016975307</v>
      </c>
      <c r="C103" s="303" t="str">
        <f t="shared" si="22"/>
        <v>Chile Yareta Justino</v>
      </c>
      <c r="D103" s="294">
        <f t="shared" si="38"/>
        <v>89.519568135802459</v>
      </c>
      <c r="E103" s="294">
        <f t="shared" si="38"/>
        <v>100.70951415277777</v>
      </c>
      <c r="F103" s="294">
        <f t="shared" si="38"/>
        <v>78.329622118827146</v>
      </c>
      <c r="G103" s="295"/>
      <c r="H103" s="294">
        <f t="shared" si="39"/>
        <v>89.519568135802459</v>
      </c>
      <c r="I103" s="294">
        <f t="shared" si="39"/>
        <v>89.519568135802459</v>
      </c>
      <c r="J103" s="294">
        <f t="shared" si="39"/>
        <v>89.519568135802459</v>
      </c>
      <c r="K103" s="294">
        <f t="shared" si="39"/>
        <v>100.70951415277777</v>
      </c>
      <c r="L103" s="294">
        <f t="shared" si="39"/>
        <v>0</v>
      </c>
      <c r="M103" s="294">
        <f t="shared" si="39"/>
        <v>0</v>
      </c>
      <c r="N103" s="295"/>
      <c r="O103" s="294">
        <f t="shared" si="40"/>
        <v>0</v>
      </c>
      <c r="P103" s="294">
        <f t="shared" si="40"/>
        <v>0</v>
      </c>
      <c r="Q103" s="294">
        <f t="shared" si="40"/>
        <v>0</v>
      </c>
      <c r="R103" s="294">
        <f t="shared" si="40"/>
        <v>0</v>
      </c>
      <c r="S103" s="294">
        <f t="shared" si="40"/>
        <v>0</v>
      </c>
      <c r="T103" s="294">
        <f t="shared" si="40"/>
        <v>0</v>
      </c>
      <c r="U103" s="295">
        <f t="shared" si="40"/>
        <v>0</v>
      </c>
      <c r="V103" s="294">
        <f t="shared" si="40"/>
        <v>89.519568135802459</v>
      </c>
      <c r="W103" s="294">
        <f t="shared" si="40"/>
        <v>89.519568135802459</v>
      </c>
      <c r="X103" s="294">
        <f t="shared" si="40"/>
        <v>89.519568135802459</v>
      </c>
      <c r="Y103" s="294">
        <f t="shared" si="40"/>
        <v>100.70951415277777</v>
      </c>
      <c r="Z103" s="294">
        <f t="shared" si="40"/>
        <v>100.70951415277777</v>
      </c>
      <c r="AA103" s="294">
        <f t="shared" si="40"/>
        <v>67.139676101851848</v>
      </c>
      <c r="AB103" s="295"/>
      <c r="AC103" s="294">
        <f t="shared" si="41"/>
        <v>89.519568135802459</v>
      </c>
      <c r="AD103" s="294">
        <f t="shared" si="41"/>
        <v>89.519568135802459</v>
      </c>
      <c r="AE103" s="294">
        <f t="shared" si="41"/>
        <v>89.519568135802459</v>
      </c>
      <c r="AF103" s="294">
        <f t="shared" si="41"/>
        <v>100.70951415277777</v>
      </c>
      <c r="AG103" s="294">
        <f t="shared" si="41"/>
        <v>100.70951415277777</v>
      </c>
      <c r="AH103" s="294">
        <f t="shared" si="41"/>
        <v>67.139676101851848</v>
      </c>
      <c r="AI103" s="296">
        <f t="shared" si="29"/>
        <v>1712.0617405972221</v>
      </c>
    </row>
    <row r="104" spans="1:47" ht="12.9" customHeight="1">
      <c r="A104" s="259">
        <v>46</v>
      </c>
      <c r="B104" s="293">
        <f>VLOOKUP(C104,PROYECTADA!$Y$7:$AD$54,6,0)</f>
        <v>11.189518595679013</v>
      </c>
      <c r="C104" s="305" t="str">
        <f t="shared" si="22"/>
        <v>Diaz Chipana Walter</v>
      </c>
      <c r="D104" s="294">
        <f t="shared" si="38"/>
        <v>89.516148765432106</v>
      </c>
      <c r="E104" s="294">
        <f t="shared" si="38"/>
        <v>106.30042665895063</v>
      </c>
      <c r="F104" s="294">
        <f t="shared" si="38"/>
        <v>78.326630169753088</v>
      </c>
      <c r="G104" s="295"/>
      <c r="H104" s="294">
        <f t="shared" si="39"/>
        <v>95.110908063271609</v>
      </c>
      <c r="I104" s="294">
        <f t="shared" si="39"/>
        <v>95.110908063271609</v>
      </c>
      <c r="J104" s="294">
        <f t="shared" si="39"/>
        <v>95.110908063271609</v>
      </c>
      <c r="K104" s="294">
        <f t="shared" si="39"/>
        <v>0</v>
      </c>
      <c r="L104" s="294">
        <f t="shared" si="39"/>
        <v>117.48994525462965</v>
      </c>
      <c r="M104" s="294">
        <f t="shared" si="39"/>
        <v>78.326630169753088</v>
      </c>
      <c r="N104" s="295"/>
      <c r="O104" s="294">
        <f t="shared" si="40"/>
        <v>95.110908063271609</v>
      </c>
      <c r="P104" s="294">
        <f t="shared" si="40"/>
        <v>95.110908063271609</v>
      </c>
      <c r="Q104" s="294">
        <f t="shared" si="40"/>
        <v>95.110908063271609</v>
      </c>
      <c r="R104" s="294">
        <f t="shared" si="40"/>
        <v>0</v>
      </c>
      <c r="S104" s="294">
        <f t="shared" si="40"/>
        <v>106.30042665895063</v>
      </c>
      <c r="T104" s="294">
        <f t="shared" si="40"/>
        <v>67.137111574074083</v>
      </c>
      <c r="U104" s="295">
        <f t="shared" si="40"/>
        <v>0</v>
      </c>
      <c r="V104" s="294">
        <f t="shared" si="40"/>
        <v>0</v>
      </c>
      <c r="W104" s="294">
        <f t="shared" si="40"/>
        <v>0</v>
      </c>
      <c r="X104" s="294">
        <f t="shared" si="40"/>
        <v>0</v>
      </c>
      <c r="Y104" s="294">
        <f t="shared" si="40"/>
        <v>0</v>
      </c>
      <c r="Z104" s="294">
        <f t="shared" si="40"/>
        <v>0</v>
      </c>
      <c r="AA104" s="294">
        <f t="shared" si="40"/>
        <v>0</v>
      </c>
      <c r="AB104" s="295"/>
      <c r="AC104" s="294">
        <f t="shared" si="41"/>
        <v>0</v>
      </c>
      <c r="AD104" s="294">
        <f t="shared" si="41"/>
        <v>0</v>
      </c>
      <c r="AE104" s="294">
        <f t="shared" si="41"/>
        <v>0</v>
      </c>
      <c r="AF104" s="294">
        <f t="shared" si="41"/>
        <v>0</v>
      </c>
      <c r="AG104" s="294">
        <f t="shared" si="41"/>
        <v>0</v>
      </c>
      <c r="AH104" s="294">
        <f t="shared" si="41"/>
        <v>0</v>
      </c>
      <c r="AI104" s="296">
        <f t="shared" si="29"/>
        <v>1214.0627676311728</v>
      </c>
    </row>
    <row r="105" spans="1:47" ht="12.9" customHeight="1">
      <c r="A105" s="259">
        <v>47</v>
      </c>
      <c r="B105" s="293">
        <f>VLOOKUP(C105,PROYECTADA!$Y$7:$AD$54,6,0)</f>
        <v>11.079796354938274</v>
      </c>
      <c r="C105" s="303" t="str">
        <f t="shared" si="22"/>
        <v>Quispe Gutierrez Leonardo</v>
      </c>
      <c r="D105" s="294">
        <f t="shared" si="38"/>
        <v>88.638370839506194</v>
      </c>
      <c r="E105" s="294">
        <f t="shared" si="38"/>
        <v>99.718167194444476</v>
      </c>
      <c r="F105" s="294">
        <f t="shared" si="38"/>
        <v>77.558574484567913</v>
      </c>
      <c r="G105" s="295"/>
      <c r="H105" s="294">
        <f t="shared" si="39"/>
        <v>88.638370839506194</v>
      </c>
      <c r="I105" s="294">
        <f t="shared" si="39"/>
        <v>88.638370839506194</v>
      </c>
      <c r="J105" s="294">
        <f t="shared" si="39"/>
        <v>88.638370839506194</v>
      </c>
      <c r="K105" s="294">
        <f t="shared" si="39"/>
        <v>99.718167194444476</v>
      </c>
      <c r="L105" s="294">
        <f t="shared" si="39"/>
        <v>49.859083597222238</v>
      </c>
      <c r="M105" s="294">
        <f t="shared" si="39"/>
        <v>66.478778129629646</v>
      </c>
      <c r="N105" s="295"/>
      <c r="O105" s="294">
        <f t="shared" si="40"/>
        <v>44.319185419753097</v>
      </c>
      <c r="P105" s="294">
        <f t="shared" si="40"/>
        <v>0</v>
      </c>
      <c r="Q105" s="294">
        <f t="shared" si="40"/>
        <v>88.638370839506194</v>
      </c>
      <c r="R105" s="294">
        <f t="shared" si="40"/>
        <v>99.718167194444476</v>
      </c>
      <c r="S105" s="294">
        <f t="shared" si="40"/>
        <v>49.859083597222238</v>
      </c>
      <c r="T105" s="294">
        <f t="shared" si="40"/>
        <v>66.478778129629646</v>
      </c>
      <c r="U105" s="295">
        <f t="shared" si="40"/>
        <v>0</v>
      </c>
      <c r="V105" s="294">
        <f t="shared" si="40"/>
        <v>88.638370839506194</v>
      </c>
      <c r="W105" s="294">
        <f t="shared" si="40"/>
        <v>88.638370839506194</v>
      </c>
      <c r="X105" s="294">
        <f t="shared" si="40"/>
        <v>88.638370839506194</v>
      </c>
      <c r="Y105" s="294">
        <f t="shared" si="40"/>
        <v>99.718167194444476</v>
      </c>
      <c r="Z105" s="294">
        <f t="shared" si="40"/>
        <v>99.718167194444476</v>
      </c>
      <c r="AA105" s="294">
        <f t="shared" si="40"/>
        <v>66.478778129629646</v>
      </c>
      <c r="AB105" s="295"/>
      <c r="AC105" s="294">
        <f t="shared" si="41"/>
        <v>88.638370839506194</v>
      </c>
      <c r="AD105" s="294">
        <f t="shared" si="41"/>
        <v>88.638370839506194</v>
      </c>
      <c r="AE105" s="294">
        <f t="shared" si="41"/>
        <v>88.638370839506194</v>
      </c>
      <c r="AF105" s="294">
        <f t="shared" si="41"/>
        <v>99.718167194444476</v>
      </c>
      <c r="AG105" s="294">
        <f t="shared" si="41"/>
        <v>99.718167194444476</v>
      </c>
      <c r="AH105" s="294">
        <f t="shared" si="41"/>
        <v>66.478778129629646</v>
      </c>
      <c r="AI105" s="296">
        <f t="shared" si="29"/>
        <v>2160.5602892129641</v>
      </c>
    </row>
    <row r="106" spans="1:47" ht="12.9" customHeight="1">
      <c r="A106" s="258">
        <v>48</v>
      </c>
      <c r="B106" s="293">
        <f>VLOOKUP(C106,PROYECTADA!$Y$7:$AD$54,6,0)</f>
        <v>11.189946016975307</v>
      </c>
      <c r="C106" s="303" t="str">
        <f t="shared" si="22"/>
        <v>Santiago Espinoza  Yovani</v>
      </c>
      <c r="D106" s="294">
        <f t="shared" si="38"/>
        <v>89.519568135802459</v>
      </c>
      <c r="E106" s="294">
        <f t="shared" si="38"/>
        <v>0</v>
      </c>
      <c r="F106" s="294">
        <f t="shared" si="38"/>
        <v>0</v>
      </c>
      <c r="G106" s="295"/>
      <c r="H106" s="294">
        <f t="shared" si="39"/>
        <v>89.519568135802459</v>
      </c>
      <c r="I106" s="294">
        <f t="shared" si="39"/>
        <v>89.519568135802459</v>
      </c>
      <c r="J106" s="294">
        <f t="shared" si="39"/>
        <v>89.519568135802459</v>
      </c>
      <c r="K106" s="294">
        <f t="shared" si="39"/>
        <v>100.70951415277777</v>
      </c>
      <c r="L106" s="294">
        <f t="shared" si="39"/>
        <v>100.70951415277777</v>
      </c>
      <c r="M106" s="294">
        <f t="shared" si="39"/>
        <v>67.139676101851848</v>
      </c>
      <c r="N106" s="295"/>
      <c r="O106" s="294">
        <f t="shared" si="40"/>
        <v>89.519568135802459</v>
      </c>
      <c r="P106" s="294">
        <f t="shared" si="40"/>
        <v>89.519568135802459</v>
      </c>
      <c r="Q106" s="294">
        <f t="shared" si="40"/>
        <v>89.519568135802459</v>
      </c>
      <c r="R106" s="294">
        <f t="shared" si="40"/>
        <v>100.70951415277777</v>
      </c>
      <c r="S106" s="294">
        <f t="shared" si="40"/>
        <v>100.70951415277777</v>
      </c>
      <c r="T106" s="294">
        <f t="shared" si="40"/>
        <v>67.139676101851848</v>
      </c>
      <c r="U106" s="295">
        <f t="shared" si="40"/>
        <v>0</v>
      </c>
      <c r="V106" s="294">
        <f t="shared" si="40"/>
        <v>89.519568135802459</v>
      </c>
      <c r="W106" s="294">
        <f t="shared" si="40"/>
        <v>89.519568135802459</v>
      </c>
      <c r="X106" s="294">
        <f t="shared" si="40"/>
        <v>89.519568135802459</v>
      </c>
      <c r="Y106" s="294">
        <f t="shared" si="40"/>
        <v>100.70951415277777</v>
      </c>
      <c r="Z106" s="294">
        <f t="shared" si="40"/>
        <v>100.70951415277777</v>
      </c>
      <c r="AA106" s="294">
        <f t="shared" si="40"/>
        <v>67.139676101851848</v>
      </c>
      <c r="AB106" s="295"/>
      <c r="AC106" s="294">
        <f t="shared" si="41"/>
        <v>89.519568135802459</v>
      </c>
      <c r="AD106" s="294">
        <f t="shared" si="41"/>
        <v>89.519568135802459</v>
      </c>
      <c r="AE106" s="294">
        <f t="shared" si="41"/>
        <v>89.519568135802459</v>
      </c>
      <c r="AF106" s="294">
        <f t="shared" si="41"/>
        <v>100.70951415277777</v>
      </c>
      <c r="AG106" s="294">
        <f t="shared" si="41"/>
        <v>100.70951415277777</v>
      </c>
      <c r="AH106" s="294">
        <f t="shared" si="41"/>
        <v>67.139676101851848</v>
      </c>
      <c r="AI106" s="296">
        <f t="shared" si="29"/>
        <v>2237.9892033950618</v>
      </c>
    </row>
    <row r="107" spans="1:47" ht="13.5" customHeight="1">
      <c r="B107" s="180"/>
      <c r="C107" s="180"/>
      <c r="D107" s="297">
        <f>SUM(D59:D106)</f>
        <v>4276.9213660632731</v>
      </c>
      <c r="E107" s="297">
        <f t="shared" ref="E107:AH107" si="42">SUM(E59:E106)</f>
        <v>4487.3747429616142</v>
      </c>
      <c r="F107" s="297">
        <f t="shared" si="42"/>
        <v>3668.9648116124622</v>
      </c>
      <c r="G107" s="297">
        <f t="shared" si="42"/>
        <v>0</v>
      </c>
      <c r="H107" s="297">
        <f t="shared" si="42"/>
        <v>4214.4404409861118</v>
      </c>
      <c r="I107" s="297">
        <f t="shared" si="42"/>
        <v>4131.2910020972231</v>
      </c>
      <c r="J107" s="297">
        <f t="shared" si="42"/>
        <v>3995.2570124737654</v>
      </c>
      <c r="K107" s="297">
        <f t="shared" si="42"/>
        <v>4334.6569745912429</v>
      </c>
      <c r="L107" s="297">
        <f t="shared" si="42"/>
        <v>4547.903065460071</v>
      </c>
      <c r="M107" s="297">
        <f t="shared" si="42"/>
        <v>3235.5896617172057</v>
      </c>
      <c r="N107" s="297">
        <f t="shared" si="42"/>
        <v>0</v>
      </c>
      <c r="O107" s="297">
        <f t="shared" si="42"/>
        <v>4080.6016874305565</v>
      </c>
      <c r="P107" s="297">
        <f t="shared" si="42"/>
        <v>4036.2825020108035</v>
      </c>
      <c r="Q107" s="297">
        <f t="shared" si="42"/>
        <v>4147.7036583441368</v>
      </c>
      <c r="R107" s="297">
        <f t="shared" si="42"/>
        <v>4362.6774746807496</v>
      </c>
      <c r="S107" s="297">
        <f t="shared" si="42"/>
        <v>4542.6111173890822</v>
      </c>
      <c r="T107" s="297">
        <f t="shared" si="42"/>
        <v>3167.0394310844895</v>
      </c>
      <c r="U107" s="297">
        <f t="shared" si="42"/>
        <v>0</v>
      </c>
      <c r="V107" s="297">
        <f t="shared" si="42"/>
        <v>3787.2549352345682</v>
      </c>
      <c r="W107" s="297">
        <f t="shared" si="42"/>
        <v>4059.6332066882724</v>
      </c>
      <c r="X107" s="297">
        <f t="shared" si="42"/>
        <v>4008.3719393271608</v>
      </c>
      <c r="Y107" s="297">
        <f t="shared" si="42"/>
        <v>4296.3563651390832</v>
      </c>
      <c r="Z107" s="297">
        <f t="shared" si="42"/>
        <v>4388.7024097378489</v>
      </c>
      <c r="AA107" s="297">
        <f t="shared" si="42"/>
        <v>2832.5365288468352</v>
      </c>
      <c r="AB107" s="297">
        <f t="shared" si="42"/>
        <v>0</v>
      </c>
      <c r="AC107" s="297">
        <f t="shared" si="42"/>
        <v>3704.8140802993839</v>
      </c>
      <c r="AD107" s="297">
        <f t="shared" si="42"/>
        <v>3965.2325158703711</v>
      </c>
      <c r="AE107" s="297">
        <f t="shared" si="42"/>
        <v>4019.8642691496921</v>
      </c>
      <c r="AF107" s="297">
        <f>SUM(AF59:AF106)</f>
        <v>4397.768134815009</v>
      </c>
      <c r="AG107" s="297">
        <f t="shared" si="42"/>
        <v>4372.0086777162433</v>
      </c>
      <c r="AH107" s="297">
        <f t="shared" si="42"/>
        <v>3206.6958257820211</v>
      </c>
      <c r="AI107" s="298">
        <f>SUM(AI59:AI106)</f>
        <v>108268.55383750926</v>
      </c>
    </row>
    <row r="108" spans="1:47" s="291" customFormat="1" ht="12.9" customHeight="1">
      <c r="D108" s="291" t="s">
        <v>131</v>
      </c>
      <c r="E108" s="291" t="s">
        <v>131</v>
      </c>
      <c r="F108" s="291" t="s">
        <v>131</v>
      </c>
      <c r="H108" s="291" t="s">
        <v>131</v>
      </c>
      <c r="I108" s="291" t="s">
        <v>131</v>
      </c>
      <c r="J108" s="291" t="s">
        <v>131</v>
      </c>
      <c r="K108" s="291" t="s">
        <v>131</v>
      </c>
      <c r="L108" s="291" t="s">
        <v>132</v>
      </c>
      <c r="M108" s="291" t="s">
        <v>131</v>
      </c>
      <c r="O108" s="291" t="s">
        <v>131</v>
      </c>
      <c r="P108" s="291" t="s">
        <v>131</v>
      </c>
      <c r="Q108" s="291" t="s">
        <v>131</v>
      </c>
      <c r="R108" s="291" t="s">
        <v>131</v>
      </c>
      <c r="S108" s="291" t="s">
        <v>131</v>
      </c>
      <c r="T108" s="291" t="s">
        <v>131</v>
      </c>
      <c r="V108" s="291" t="s">
        <v>131</v>
      </c>
      <c r="W108" s="291" t="s">
        <v>131</v>
      </c>
      <c r="X108" s="291" t="s">
        <v>131</v>
      </c>
      <c r="Y108" s="291" t="s">
        <v>131</v>
      </c>
      <c r="Z108" s="291" t="s">
        <v>131</v>
      </c>
      <c r="AA108" s="291" t="s">
        <v>131</v>
      </c>
      <c r="AC108" s="291" t="s">
        <v>132</v>
      </c>
      <c r="AD108" s="291" t="s">
        <v>132</v>
      </c>
      <c r="AE108" s="291" t="s">
        <v>132</v>
      </c>
      <c r="AF108" s="291" t="s">
        <v>132</v>
      </c>
      <c r="AG108" s="291" t="s">
        <v>131</v>
      </c>
      <c r="AH108" s="291" t="s">
        <v>132</v>
      </c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</row>
    <row r="109" spans="1:47" s="176" customFormat="1">
      <c r="C109" s="262"/>
      <c r="D109" s="177"/>
      <c r="E109" s="178"/>
      <c r="F109" s="178"/>
      <c r="G109" s="178"/>
      <c r="H109" s="178"/>
      <c r="I109" s="177"/>
      <c r="J109" s="177"/>
      <c r="K109" s="177"/>
      <c r="L109" s="177"/>
      <c r="M109" s="178"/>
      <c r="N109" s="177"/>
      <c r="O109" s="177"/>
      <c r="P109" s="177"/>
      <c r="Q109" s="177"/>
      <c r="R109" s="178"/>
      <c r="S109" s="177"/>
      <c r="T109" s="177"/>
      <c r="U109" s="177"/>
      <c r="V109" s="177"/>
      <c r="W109" s="178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</row>
    <row r="110" spans="1:47" s="176" customFormat="1">
      <c r="C110" s="262" t="s">
        <v>133</v>
      </c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9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</row>
    <row r="111" spans="1:47" s="176" customFormat="1">
      <c r="E111" s="177"/>
      <c r="G111" s="256"/>
      <c r="U111" s="177"/>
      <c r="V111" s="178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</row>
    <row r="112" spans="1:47" s="176" customFormat="1" ht="12.9" customHeight="1">
      <c r="E112" s="177"/>
      <c r="R112" s="256"/>
      <c r="U112" s="177"/>
      <c r="AI112" s="177"/>
    </row>
    <row r="113" spans="5:35" ht="12.9" customHeight="1">
      <c r="E113" s="177"/>
      <c r="R113" s="256"/>
      <c r="U113" s="177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</row>
    <row r="114" spans="5:35" ht="12.9" customHeight="1">
      <c r="E114" s="177"/>
      <c r="R114" s="256"/>
      <c r="W114" s="176">
        <f>250-140</f>
        <v>110</v>
      </c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7"/>
    </row>
    <row r="115" spans="5:35" ht="12.9" customHeight="1">
      <c r="E115" s="177"/>
      <c r="R115" s="256"/>
      <c r="W115" s="288"/>
    </row>
    <row r="116" spans="5:35" ht="12.9" customHeight="1">
      <c r="R116" s="256"/>
    </row>
    <row r="117" spans="5:35" ht="12.9" customHeight="1">
      <c r="R117" s="256"/>
    </row>
    <row r="118" spans="5:35" ht="12.9" customHeight="1">
      <c r="J118" s="177"/>
    </row>
    <row r="119" spans="5:35" ht="12.9" customHeight="1"/>
    <row r="120" spans="5:35" ht="12.9" customHeight="1"/>
    <row r="121" spans="5:35" ht="12.9" customHeight="1">
      <c r="AI121" s="299"/>
    </row>
    <row r="122" spans="5:35" ht="12.9" customHeight="1"/>
    <row r="123" spans="5:35" ht="12.9" customHeight="1"/>
  </sheetData>
  <mergeCells count="7">
    <mergeCell ref="A2:AI3"/>
    <mergeCell ref="A5:A6"/>
    <mergeCell ref="B5:B6"/>
    <mergeCell ref="C5:C6"/>
    <mergeCell ref="A57:A58"/>
    <mergeCell ref="B57:B58"/>
    <mergeCell ref="C57:C5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5D6E-F639-4214-A32C-F699A64D1AC2}">
  <dimension ref="A1:F19"/>
  <sheetViews>
    <sheetView zoomScaleNormal="100" workbookViewId="0">
      <selection activeCell="C11" sqref="C11:C17"/>
    </sheetView>
  </sheetViews>
  <sheetFormatPr baseColWidth="10" defaultRowHeight="14.4"/>
  <cols>
    <col min="1" max="1" width="27" customWidth="1"/>
    <col min="2" max="6" width="32.5546875" customWidth="1"/>
  </cols>
  <sheetData>
    <row r="1" spans="1:6" ht="31.2">
      <c r="A1" s="249" t="s">
        <v>86</v>
      </c>
      <c r="B1" s="191" t="s">
        <v>150</v>
      </c>
      <c r="C1" s="192" t="s">
        <v>150</v>
      </c>
      <c r="D1" s="193" t="s">
        <v>155</v>
      </c>
      <c r="E1" s="193" t="s">
        <v>156</v>
      </c>
      <c r="F1" s="252" t="s">
        <v>157</v>
      </c>
    </row>
    <row r="2" spans="1:6" ht="31.2">
      <c r="A2" s="250"/>
      <c r="B2" s="194" t="s">
        <v>151</v>
      </c>
      <c r="C2" s="195" t="s">
        <v>153</v>
      </c>
      <c r="D2" s="196" t="s">
        <v>162</v>
      </c>
      <c r="E2" s="197" t="s">
        <v>152</v>
      </c>
      <c r="F2" s="253"/>
    </row>
    <row r="3" spans="1:6" ht="31.8" thickBot="1">
      <c r="A3" s="251"/>
      <c r="B3" s="198" t="s">
        <v>152</v>
      </c>
      <c r="C3" s="199" t="s">
        <v>154</v>
      </c>
      <c r="D3" s="200" t="s">
        <v>152</v>
      </c>
      <c r="E3" s="201"/>
      <c r="F3" s="254"/>
    </row>
    <row r="4" spans="1:6" ht="18" thickBot="1">
      <c r="A4" s="188" t="s">
        <v>158</v>
      </c>
      <c r="B4" s="190">
        <v>1.47E-2</v>
      </c>
      <c r="C4" s="190">
        <v>1.2500000000000001E-2</v>
      </c>
      <c r="D4" s="190">
        <v>1.37E-2</v>
      </c>
      <c r="E4" s="190">
        <v>0.1</v>
      </c>
      <c r="F4" s="189">
        <v>12209.11</v>
      </c>
    </row>
    <row r="5" spans="1:6" ht="18" thickBot="1">
      <c r="A5" s="188" t="s">
        <v>159</v>
      </c>
      <c r="B5" s="190">
        <v>1.55E-2</v>
      </c>
      <c r="C5" s="190">
        <v>7.7999999999999996E-3</v>
      </c>
      <c r="D5" s="190">
        <v>1.37E-2</v>
      </c>
      <c r="E5" s="190">
        <v>0.1</v>
      </c>
      <c r="F5" s="189">
        <v>12209.11</v>
      </c>
    </row>
    <row r="6" spans="1:6" ht="18" thickBot="1">
      <c r="A6" s="188" t="s">
        <v>160</v>
      </c>
      <c r="B6" s="190">
        <v>1.6E-2</v>
      </c>
      <c r="C6" s="190">
        <v>1.2500000000000001E-2</v>
      </c>
      <c r="D6" s="190">
        <v>1.37E-2</v>
      </c>
      <c r="E6" s="190">
        <v>0.1</v>
      </c>
      <c r="F6" s="189">
        <v>12209.11</v>
      </c>
    </row>
    <row r="7" spans="1:6" ht="18" thickBot="1">
      <c r="A7" s="188" t="s">
        <v>161</v>
      </c>
      <c r="B7" s="190">
        <v>1.6899999999999998E-2</v>
      </c>
      <c r="C7" s="190">
        <v>6.7999999999999996E-3</v>
      </c>
      <c r="D7" s="190">
        <v>1.37E-2</v>
      </c>
      <c r="E7" s="190">
        <v>0.1</v>
      </c>
      <c r="F7" s="189">
        <v>12209.11</v>
      </c>
    </row>
    <row r="12" spans="1:6">
      <c r="C12" s="15"/>
    </row>
    <row r="13" spans="1:6">
      <c r="C13" s="15"/>
    </row>
    <row r="14" spans="1:6">
      <c r="C14" s="15"/>
    </row>
    <row r="15" spans="1:6">
      <c r="C15" s="15"/>
    </row>
    <row r="16" spans="1:6">
      <c r="C16" s="15"/>
    </row>
    <row r="17" spans="3:3">
      <c r="C17" s="15"/>
    </row>
    <row r="18" spans="3:3">
      <c r="C18" s="15"/>
    </row>
    <row r="19" spans="3:3">
      <c r="C19" s="15"/>
    </row>
  </sheetData>
  <mergeCells count="2">
    <mergeCell ref="A1:A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PROYECTADA</vt:lpstr>
      <vt:lpstr>PLAME</vt:lpstr>
      <vt:lpstr>REPORTE DIARIO</vt:lpstr>
      <vt:lpstr>DESCUENTO AFP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2026-07-18T22:12:08Z</dcterms:created>
  <dcterms:modified xsi:type="dcterms:W3CDTF">2026-08-01T20:21:13Z</dcterms:modified>
</cp:coreProperties>
</file>