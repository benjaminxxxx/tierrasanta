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tierrasanta\public\templates\"/>
    </mc:Choice>
  </mc:AlternateContent>
  <xr:revisionPtr revIDLastSave="0" documentId="13_ncr:1_{F24A7850-B78B-4B90-836F-1FDA76CAF283}" xr6:coauthVersionLast="47" xr6:coauthVersionMax="47" xr10:uidLastSave="{00000000-0000-0000-0000-000000000000}"/>
  <bookViews>
    <workbookView xWindow="-108" yWindow="-108" windowWidth="23256" windowHeight="12456" activeTab="3" xr2:uid="{0D0853FD-6A20-4A77-9B43-493267389889}"/>
  </bookViews>
  <sheets>
    <sheet name="PROYECTADA" sheetId="4" r:id="rId1"/>
    <sheet name="PLAME" sheetId="5" r:id="rId2"/>
    <sheet name="REPORTE DIARIO" sheetId="6" r:id="rId3"/>
    <sheet name="DESCUENTO AFP" sheetId="7" r:id="rId4"/>
  </sheets>
  <definedNames>
    <definedName name="_xlnm._FilterDatabase" localSheetId="0" hidden="1">PROYECTADA!$A$5:$T$54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12" i="4" l="1"/>
  <c r="AM13" i="4"/>
  <c r="AM14" i="4"/>
  <c r="AM11" i="4"/>
  <c r="AM7" i="4"/>
  <c r="AM8" i="4"/>
  <c r="AM9" i="4"/>
  <c r="AM6" i="4"/>
  <c r="AL7" i="4"/>
  <c r="AL8" i="4"/>
  <c r="AL9" i="4"/>
  <c r="AL6" i="4"/>
  <c r="AT10" i="5"/>
  <c r="AT11" i="5"/>
  <c r="AT12" i="5"/>
  <c r="AT9" i="5"/>
  <c r="AU15" i="5"/>
  <c r="AU16" i="5"/>
  <c r="AU17" i="5"/>
  <c r="AU14" i="5"/>
  <c r="AU10" i="5"/>
  <c r="AU11" i="5"/>
  <c r="AU12" i="5"/>
  <c r="AU9" i="5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G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AP1" i="5"/>
  <c r="G58" i="4"/>
  <c r="F58" i="4"/>
  <c r="E58" i="4"/>
  <c r="R1" i="4"/>
  <c r="AI55" i="6" l="1"/>
  <c r="AI4" i="6"/>
  <c r="N58" i="4"/>
  <c r="AA58" i="4"/>
  <c r="D58" i="4"/>
  <c r="H58" i="4" l="1"/>
  <c r="K58" i="4"/>
  <c r="L58" i="4"/>
  <c r="M58" i="4" l="1"/>
  <c r="Q58" i="4"/>
  <c r="O58" i="4"/>
  <c r="P58" i="4"/>
  <c r="I58" i="4"/>
  <c r="R58" i="4"/>
  <c r="S58" i="4" l="1"/>
  <c r="T58" i="4"/>
  <c r="T60" i="4" s="1"/>
  <c r="Z58" i="4" l="1"/>
  <c r="V58" i="4"/>
  <c r="U58" i="4"/>
  <c r="AF58" i="4"/>
  <c r="AB58" i="4" l="1"/>
  <c r="AC58" i="4" l="1"/>
  <c r="AD58" i="4" l="1"/>
  <c r="AG58" i="4" l="1"/>
  <c r="AI94" i="6" l="1"/>
  <c r="AI74" i="6"/>
  <c r="AI85" i="6"/>
  <c r="AI75" i="6"/>
  <c r="AI70" i="6"/>
  <c r="AI95" i="6"/>
  <c r="AI76" i="6"/>
  <c r="AI98" i="6"/>
  <c r="AI81" i="6" l="1"/>
  <c r="AI79" i="6"/>
  <c r="AI78" i="6"/>
  <c r="AI90" i="6"/>
  <c r="AI73" i="6"/>
  <c r="AI87" i="6"/>
  <c r="AI93" i="6"/>
  <c r="AI88" i="6"/>
  <c r="AI68" i="6"/>
  <c r="AI84" i="6"/>
  <c r="AI69" i="6"/>
  <c r="AI83" i="6"/>
  <c r="AI72" i="6"/>
  <c r="AI66" i="6"/>
  <c r="AI65" i="6"/>
  <c r="AI80" i="6"/>
  <c r="AI82" i="6"/>
  <c r="AI97" i="6"/>
  <c r="AI86" i="6"/>
  <c r="AI71" i="6" l="1"/>
  <c r="AI77" i="6"/>
  <c r="AI96" i="6"/>
  <c r="AI91" i="6"/>
  <c r="AI92" i="6"/>
  <c r="AI60" i="6"/>
  <c r="AI63" i="6"/>
  <c r="AI89" i="6"/>
  <c r="AI67" i="6"/>
  <c r="AI99" i="6"/>
  <c r="AI61" i="6" l="1"/>
  <c r="AI59" i="6"/>
  <c r="AI62" i="6"/>
  <c r="AI6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USUARIO</author>
    <author>EFE</author>
    <author>Usuario</author>
  </authors>
  <commentList>
    <comment ref="Z5" authorId="0" shapeId="0" xr:uid="{DABEB1BF-A280-4796-BCE4-4F20BFB6D693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Monto si la persona tendria asistencia perfecta
</t>
        </r>
      </text>
    </comment>
    <comment ref="AA5" authorId="0" shapeId="0" xr:uid="{762776A3-A931-45B8-BBFC-7E5E73ACDFDF}">
      <text>
        <r>
          <rPr>
            <b/>
            <sz val="9"/>
            <color indexed="81"/>
            <rFont val="Tahoma"/>
            <family val="2"/>
          </rPr>
          <t>LENOVO:SUELDO NETO TOTAL</t>
        </r>
      </text>
    </comment>
    <comment ref="AB5" authorId="0" shapeId="0" xr:uid="{7CB0E6EF-ADCA-4607-AAB0-8F68C9F2B8E8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SUELDO BRUTO= (S. Bruto blanco+Essalud blanco)+Diferencia negro</t>
        </r>
      </text>
    </comment>
    <comment ref="AC5" authorId="0" shapeId="0" xr:uid="{4CBFE88C-729A-411A-BC3C-35B153F288AD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DIAS LABORABLES
</t>
        </r>
      </text>
    </comment>
    <comment ref="AG5" authorId="0" shapeId="0" xr:uid="{2D32D0A8-AEBA-41E9-9092-901BFEE46B84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Monto de la diferencia de acuerdo a las horas trabajadas (descontando las faltas de cada persona)
</t>
        </r>
      </text>
    </comment>
    <comment ref="AA7" authorId="1" shapeId="0" xr:uid="{FDAEF9DC-8AAF-4653-BB59-5166B888BB7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2400 desde noviembre
2300 desde Mayo
LO CUAL NO TENIA CONOCIEMIENTO HASTA ABRIL 2025
</t>
        </r>
      </text>
    </comment>
    <comment ref="B18" authorId="1" shapeId="0" xr:uid="{0CCC0F38-EB29-4537-8443-BCD280A34C9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02/01/2025</t>
        </r>
      </text>
    </comment>
    <comment ref="B22" authorId="1" shapeId="0" xr:uid="{403B17A6-B46A-4259-AFAC-61B1E45A170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I35" authorId="2" shapeId="0" xr:uid="{599A3F14-0760-4129-9815-868D56BEAE93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I36" authorId="2" shapeId="0" xr:uid="{0525D039-F36F-4DF1-A5A4-577D7EE391F0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B43" authorId="1" shapeId="0" xr:uid="{10422BCE-D95A-42BF-A9AA-670D293DA6C2}">
      <text>
        <r>
          <rPr>
            <b/>
            <sz val="9"/>
            <color indexed="81"/>
            <rFont val="Tahoma"/>
            <family val="2"/>
          </rPr>
          <t>USUARIO:
Ingreso 13/01/2025</t>
        </r>
      </text>
    </comment>
    <comment ref="I45" authorId="2" shapeId="0" xr:uid="{CB8754CE-BEE3-4083-9945-CA13E01BF353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MAYORES DE 65 AÑOS EXONERADO DE PRIMA 1.37 %
TIENE 65 AÑOS A PARTIR DE 09/2023</t>
        </r>
      </text>
    </comment>
    <comment ref="B46" authorId="2" shapeId="0" xr:uid="{C0B623B2-B28F-4714-94FC-F949BF33502E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Ingresa 18/09/2023</t>
        </r>
      </text>
    </comment>
    <comment ref="I47" authorId="2" shapeId="0" xr:uid="{AF721506-56B1-4278-ADAD-53E07BD4042C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 DE 65 AÑOS EXONERADOS DE PRIMA</t>
        </r>
      </text>
    </comment>
    <comment ref="B49" authorId="3" shapeId="0" xr:uid="{F22AD9AA-44EB-4E66-9DED-1E201FC746B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01/08/2023</t>
        </r>
      </text>
    </comment>
    <comment ref="B51" authorId="3" shapeId="0" xr:uid="{2B1D05CB-9D09-4472-892F-5AD2D9ECE12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  <comment ref="B53" authorId="1" shapeId="0" xr:uid="{62009F65-5427-45F1-9ADB-803C656D2F4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B54" authorId="3" shapeId="0" xr:uid="{71D50D5A-EAB7-4747-A248-CAF3A9567F8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  <comment ref="F58" authorId="1" shapeId="0" xr:uid="{B8E6DF04-6969-4CDC-B7FF-C63F88BABD25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SUELDO BRUTO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  <author>EFE</author>
    <author>Usuario</author>
  </authors>
  <commentList>
    <comment ref="B18" authorId="0" shapeId="0" xr:uid="{D9A031E9-744C-42BA-940F-C569805C422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02/01/2025</t>
        </r>
      </text>
    </comment>
    <comment ref="B22" authorId="0" shapeId="0" xr:uid="{7BD8FB61-6A67-407D-92C3-4EA8D5CDE357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AN35" authorId="1" shapeId="0" xr:uid="{1A25AAAC-9A79-456F-A8F4-15130A6709C1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AN36" authorId="1" shapeId="0" xr:uid="{395A80D7-990A-4366-8611-DB367D1EB67F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POR SER PENSIONISTA NO TIENE RETENCIÓN</t>
        </r>
      </text>
    </comment>
    <comment ref="B43" authorId="0" shapeId="0" xr:uid="{042158C9-977D-4614-AF0F-7D67FC00757F}">
      <text>
        <r>
          <rPr>
            <b/>
            <sz val="9"/>
            <color indexed="81"/>
            <rFont val="Tahoma"/>
            <family val="2"/>
          </rPr>
          <t>USUARIO:
Ingreso 13/01/2025</t>
        </r>
      </text>
    </comment>
    <comment ref="AN45" authorId="1" shapeId="0" xr:uid="{37B34625-E820-44B0-BE36-60C9F00826FD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MAYORES DE 65 AÑOS EXONERADO DE PRIMA 1.37 %
TIENE 65 AÑOS A PARTIR DE 09/2023</t>
        </r>
      </text>
    </comment>
    <comment ref="B46" authorId="1" shapeId="0" xr:uid="{18BAC089-2A26-4E35-9B0F-B27A31DB7FE2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Ingresa 18/09/2023</t>
        </r>
      </text>
    </comment>
    <comment ref="AN47" authorId="1" shapeId="0" xr:uid="{E2CE4DB9-4681-47D2-83D5-1837616293BF}">
      <text>
        <r>
          <rPr>
            <b/>
            <sz val="9"/>
            <color indexed="81"/>
            <rFont val="Tahoma"/>
            <family val="2"/>
          </rPr>
          <t>EFE:</t>
        </r>
        <r>
          <rPr>
            <sz val="9"/>
            <color indexed="81"/>
            <rFont val="Tahoma"/>
            <family val="2"/>
          </rPr>
          <t xml:space="preserve">
MAYOR DE 65 AÑOS EXONERADOS DE PRIMA</t>
        </r>
      </text>
    </comment>
    <comment ref="B49" authorId="2" shapeId="0" xr:uid="{5770442C-C412-4E41-B89A-567BE08BAC5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Ingreso 01/08/2023</t>
        </r>
      </text>
    </comment>
    <comment ref="B51" authorId="2" shapeId="0" xr:uid="{946DB1B2-BCEB-44F3-BF35-C2150914435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  <comment ref="B53" authorId="0" shapeId="0" xr:uid="{5DD8085F-5466-45B8-857F-34C5451CE06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05/02/2024</t>
        </r>
      </text>
    </comment>
    <comment ref="B54" authorId="2" shapeId="0" xr:uid="{DD33569D-5459-443D-B5EF-CF872CE6C39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Ingresa 01/09/2023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V8" authorId="0" shapeId="0" xr:uid="{3E3FF3DE-1AA2-4A20-A306-E264DA4A777A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19AL 20 DE ENERO</t>
        </r>
      </text>
    </comment>
    <comment ref="W8" authorId="0" shapeId="0" xr:uid="{960C397E-95E4-4A99-83EE-57CD678718A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DESCANSO MEDICO
del 19AL 20 DE ENERO</t>
        </r>
      </text>
    </comment>
  </commentList>
</comments>
</file>

<file path=xl/sharedStrings.xml><?xml version="1.0" encoding="utf-8"?>
<sst xmlns="http://schemas.openxmlformats.org/spreadsheetml/2006/main" count="149" uniqueCount="119">
  <si>
    <t>TOTAL</t>
  </si>
  <si>
    <t>Horas</t>
  </si>
  <si>
    <t>FDM</t>
  </si>
  <si>
    <t>SISTEMA MES DE  ENERO 2026</t>
  </si>
  <si>
    <t>BONIFICACIÓN  ENERO  2026</t>
  </si>
  <si>
    <t>SUELDO BRUTO</t>
  </si>
  <si>
    <t>Nº</t>
  </si>
  <si>
    <t>NOMBRES</t>
  </si>
  <si>
    <t>SPP o SNP</t>
  </si>
  <si>
    <t>REMUNERACIÓN BÁSICA</t>
  </si>
  <si>
    <t>BONIF.</t>
  </si>
  <si>
    <t>ASIGNACION FAMILIAR</t>
  </si>
  <si>
    <t>COMPEN.</t>
  </si>
  <si>
    <t>CTS</t>
  </si>
  <si>
    <t>GRATIFICACIONES</t>
  </si>
  <si>
    <t>ESSALUD GRATIFICACIONES</t>
  </si>
  <si>
    <t>ESSALUD</t>
  </si>
  <si>
    <t>JORNAL DIARIO</t>
  </si>
  <si>
    <t>COSTO HORA</t>
  </si>
  <si>
    <t>DIFERENCIA O BONIFICACION</t>
  </si>
  <si>
    <t>SUELDO NETO TOTAL</t>
  </si>
  <si>
    <t>SUELDO BRUTO NEGRO</t>
  </si>
  <si>
    <t>SUELDO POR DIA</t>
  </si>
  <si>
    <t>SUELDO POR HORA</t>
  </si>
  <si>
    <t>Diferencia por h.</t>
  </si>
  <si>
    <t>Diferencia real</t>
  </si>
  <si>
    <t>Diferencia real de personas en vacaciones</t>
  </si>
  <si>
    <t>BETA 30 %</t>
  </si>
  <si>
    <t>VIDA LEY</t>
  </si>
  <si>
    <t>PRO F</t>
  </si>
  <si>
    <t>HAB M</t>
  </si>
  <si>
    <t>PRO M</t>
  </si>
  <si>
    <t>SNP</t>
  </si>
  <si>
    <t>INT F</t>
  </si>
  <si>
    <t>INT M</t>
  </si>
  <si>
    <t>PRI M</t>
  </si>
  <si>
    <t>AFP</t>
  </si>
  <si>
    <t>MES DE ENERO 2026</t>
  </si>
  <si>
    <t>SUELDO NETO</t>
  </si>
  <si>
    <t>ESSALUD EPS</t>
  </si>
  <si>
    <t>PENSION SCTR</t>
  </si>
  <si>
    <t>DSCTO. A.F.P.(Prima de Seguro</t>
  </si>
  <si>
    <t>Dias laborables</t>
  </si>
  <si>
    <t>Dias</t>
  </si>
  <si>
    <t>BENEFICIOS SOCIALES PROYECTADOS</t>
  </si>
  <si>
    <t>SUELDO NETO + BENF. SOCI. PROYEC.</t>
  </si>
  <si>
    <t>SUELDO BRUTO + BENF. SOCI. PROYEC. + APORT. EMPLE.</t>
  </si>
  <si>
    <t>APORTES DEL EMPLEADOR</t>
  </si>
  <si>
    <t>DIAS LABORADOS</t>
  </si>
  <si>
    <t>PLANILLA ESPECIAL TIERRA SANTA HOLDING SAC  - ENERO 2026</t>
  </si>
  <si>
    <t>Nº ORDEN</t>
  </si>
  <si>
    <t>D</t>
  </si>
  <si>
    <t>HORAS</t>
  </si>
  <si>
    <t>Monto S/.</t>
  </si>
  <si>
    <t>DIAS NO LABORADOS</t>
  </si>
  <si>
    <t>TOTAL HORAS</t>
  </si>
  <si>
    <t>0118 - REM. VAC.</t>
  </si>
  <si>
    <t>0121 - REM. JORN. BAS.</t>
  </si>
  <si>
    <t>0312 - BONIF. EXT. TEMP.</t>
  </si>
  <si>
    <t>0406 - GRATIF. FIEST. P. NAV.</t>
  </si>
  <si>
    <t>0314 - BETA 30 %</t>
  </si>
  <si>
    <t>0904 - CTS</t>
  </si>
  <si>
    <t>0201 - ASIG. FAMILIAR</t>
  </si>
  <si>
    <t>INGRESOS</t>
  </si>
  <si>
    <t>DESCUENTOS</t>
  </si>
  <si>
    <t>0601 - COMI. AFP %</t>
  </si>
  <si>
    <t>0605 - RENTA 5TA CAT. RET.</t>
  </si>
  <si>
    <t>0606 - PRIMA DE SEG. AFP</t>
  </si>
  <si>
    <t>0608 - SPP APORT. OBL.</t>
  </si>
  <si>
    <t>0607 - SNP</t>
  </si>
  <si>
    <t>COMISIÓN</t>
  </si>
  <si>
    <t>SOBRE FLUJO</t>
  </si>
  <si>
    <t>(% Remuneración Bruta Mensual)</t>
  </si>
  <si>
    <t>ANUAL SOBRE</t>
  </si>
  <si>
    <t>SALDO</t>
  </si>
  <si>
    <t>PRIMA DE</t>
  </si>
  <si>
    <t>APORTE OBLIGATORIO AL FONDO DE PENSIONES</t>
  </si>
  <si>
    <t>REMUNERACIÓN MÁXIMA ASEGURABLE</t>
  </si>
  <si>
    <t>HABITAT</t>
  </si>
  <si>
    <t>INTEGRA</t>
  </si>
  <si>
    <t>PRIMA</t>
  </si>
  <si>
    <t>PROFUTURO</t>
  </si>
  <si>
    <r>
      <t>SEGUROS (%) </t>
    </r>
    <r>
      <rPr>
        <b/>
        <vertAlign val="superscript"/>
        <sz val="12"/>
        <color rgb="FFFFFFFF"/>
        <rFont val="OpenSans-Bold"/>
      </rPr>
      <t>3/</t>
    </r>
  </si>
  <si>
    <t>0117 - COMP. VACACIONAL</t>
  </si>
  <si>
    <t>PENSIONISTA</t>
  </si>
  <si>
    <t>EDAD</t>
  </si>
  <si>
    <t>INFORMACION</t>
  </si>
  <si>
    <t>HAB F</t>
  </si>
  <si>
    <t>PRI F</t>
  </si>
  <si>
    <t>% DESC</t>
  </si>
  <si>
    <t>SEGURO</t>
  </si>
  <si>
    <t>% PRIMA</t>
  </si>
  <si>
    <t>% PRIMA &gt; 65</t>
  </si>
  <si>
    <t>NETO A PAGAR</t>
  </si>
  <si>
    <t>0803 - POLIZA</t>
  </si>
  <si>
    <t>0804 - ESSALUD</t>
  </si>
  <si>
    <t>0805 - SCTR</t>
  </si>
  <si>
    <t>0810 - EPS</t>
  </si>
  <si>
    <t>REMUNERACION BRUTA</t>
  </si>
  <si>
    <t>01 - S.P. Sanción disciplinaria</t>
  </si>
  <si>
    <t>02 - S.P. Ejercicio del derecho de huelga</t>
  </si>
  <si>
    <t>SUSPENSION PERFECTA</t>
  </si>
  <si>
    <t>08 - Por temporada o intermitente</t>
  </si>
  <si>
    <t>08 - Falta no justificada</t>
  </si>
  <si>
    <t>06 - Caso fortuito o fuerza mayor</t>
  </si>
  <si>
    <t>05 - Permiso o licencia concedidos por el emplea</t>
  </si>
  <si>
    <t>04 - Inhabilitación administrativa o judicial por</t>
  </si>
  <si>
    <t>03 - Detención del trabajador, salvo el caso de c</t>
  </si>
  <si>
    <t>SUSPENSIÓN IMPERFECTA</t>
  </si>
  <si>
    <t>20 - Enfermedad o accidente (primeros veinte días)</t>
  </si>
  <si>
    <t>21 - Incapacidad temporal (invalidez, enfermeda</t>
  </si>
  <si>
    <t>22 - Maternidad durante el descanso pre y post na</t>
  </si>
  <si>
    <t>23 - Descanso vacacional</t>
  </si>
  <si>
    <t>24 - Licencia para desempeñar cargo cívico y p</t>
  </si>
  <si>
    <t>25 - Permiso y licencia para el desempeño de carg</t>
  </si>
  <si>
    <t>26 - Licencia con goce de haber</t>
  </si>
  <si>
    <t>27 - Días compensados por horas trabajadas en so</t>
  </si>
  <si>
    <t>APORTE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</si>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</sst>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000000"/>
    <numFmt numFmtId="165" formatCode="0.00000"/>
    <numFmt numFmtId="166" formatCode="0.0000000"/>
    <numFmt numFmtId="171" formatCode="_ &quot;S/.&quot;\ * #,##0.00_ ;_ &quot;S/.&quot;\ * \-#,##0.00_ ;_ &quot;S/.&quot;\ * &quot;-&quot;??_ ;_ @_ "/>
  </numFmts>
  <fonts count="38">
    <font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sz val="10"/>
      <color rgb="FF0A14E6"/>
      <name val="Calibri"/>
      <family val="2"/>
      <scheme val="minor"/>
    </font>
    <font>
      <sz val="10"/>
      <color rgb="FF3333FF"/>
      <name val="Calibri"/>
      <family val="2"/>
      <scheme val="minor"/>
    </font>
    <font>
      <b/>
      <sz val="10"/>
      <color rgb="FF00B050"/>
      <name val="Calibri"/>
      <family val="2"/>
      <scheme val="minor"/>
    </font>
    <font>
      <sz val="10"/>
      <color rgb="FF0A14E6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b/>
      <sz val="10"/>
      <color rgb="FF33CC33"/>
      <name val="Calibri"/>
      <family val="2"/>
      <scheme val="minor"/>
    </font>
    <font>
      <b/>
      <sz val="10"/>
      <color rgb="FFCC3399"/>
      <name val="Calibri"/>
      <family val="2"/>
      <scheme val="minor"/>
    </font>
    <font>
      <b/>
      <sz val="10"/>
      <color rgb="FF990099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33CC"/>
      <name val="Calibri"/>
      <family val="2"/>
      <scheme val="minor"/>
    </font>
    <font>
      <i/>
      <sz val="10"/>
      <color rgb="FFFF000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CC0099"/>
      <name val="Calibri"/>
      <family val="2"/>
      <scheme val="minor"/>
    </font>
    <font>
      <sz val="14"/>
      <color rgb="FF585B63"/>
      <name val="OpenSans-Regular"/>
    </font>
    <font>
      <b/>
      <sz val="12"/>
      <color rgb="FFFFFFFF"/>
      <name val="OpenSans-Bold"/>
    </font>
    <font>
      <b/>
      <vertAlign val="superscript"/>
      <sz val="12"/>
      <color rgb="FFFFFFFF"/>
      <name val="OpenSans-Bold"/>
    </font>
    <font>
      <b/>
      <sz val="12"/>
      <color rgb="FFFFFFFF"/>
      <name val="OpenSans-SemiBold"/>
    </font>
    <font>
      <sz val="12"/>
      <color theme="1"/>
      <name val="Calibri"/>
      <family val="2"/>
      <scheme val="minor"/>
    </font>
    <font>
      <sz val="10"/>
      <color rgb="FF990099"/>
      <name val="Calibri"/>
      <family val="2"/>
      <scheme val="minor"/>
    </font>
    <font>
      <sz val="10"/>
      <color rgb="FF0070C0"/>
      <name val="Calibri"/>
      <family val="2"/>
      <scheme val="minor"/>
    </font>
    <font>
      <sz val="10"/>
      <color rgb="FF00B050"/>
      <name val="Calibri"/>
      <family val="2"/>
      <scheme val="minor"/>
    </font>
    <font>
      <sz val="8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7E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86868"/>
        <bgColor indexed="64"/>
      </patternFill>
    </fill>
    <fill>
      <patternFill patternType="solid">
        <fgColor rgb="FF00369D"/>
        <bgColor indexed="64"/>
      </patternFill>
    </fill>
    <fill>
      <patternFill patternType="solid">
        <fgColor rgb="FF1FC3B3"/>
        <bgColor indexed="64"/>
      </patternFill>
    </fill>
    <fill>
      <patternFill patternType="solid">
        <fgColor rgb="FFBEBAB9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DFDFDF"/>
      </left>
      <right style="medium">
        <color rgb="FFFFFFFF"/>
      </right>
      <top style="medium">
        <color rgb="FFDFDFDF"/>
      </top>
      <bottom/>
      <diagonal/>
    </border>
    <border>
      <left style="medium">
        <color rgb="FFDFDFDF"/>
      </left>
      <right style="medium">
        <color rgb="FFFFFFFF"/>
      </right>
      <top/>
      <bottom/>
      <diagonal/>
    </border>
    <border>
      <left style="medium">
        <color rgb="FFDFDFDF"/>
      </left>
      <right style="medium">
        <color rgb="FFFFFFFF"/>
      </right>
      <top/>
      <bottom style="medium">
        <color rgb="FFDFDFDF"/>
      </bottom>
      <diagonal/>
    </border>
    <border>
      <left style="medium">
        <color rgb="FFDFDFD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DFDFDF"/>
      </left>
      <right style="medium">
        <color rgb="FFDFDFDF"/>
      </right>
      <top style="medium">
        <color rgb="FFDFDFDF"/>
      </top>
      <bottom style="medium">
        <color rgb="FFDFDFDF"/>
      </bottom>
      <diagonal/>
    </border>
    <border>
      <left style="medium">
        <color rgb="FFDFDFDF"/>
      </left>
      <right style="medium">
        <color rgb="FFDFDFDF"/>
      </right>
      <top style="medium">
        <color rgb="FFDFDFDF"/>
      </top>
      <bottom/>
      <diagonal/>
    </border>
    <border>
      <left style="medium">
        <color rgb="FFDFDFDF"/>
      </left>
      <right style="medium">
        <color rgb="FFDFDFDF"/>
      </right>
      <top/>
      <bottom/>
      <diagonal/>
    </border>
    <border>
      <left style="medium">
        <color rgb="FFDFDFDF"/>
      </left>
      <right style="medium">
        <color rgb="FFDFDFDF"/>
      </right>
      <top/>
      <bottom style="medium">
        <color rgb="FFDFDFDF"/>
      </bottom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238">
    <xf numFmtId="0" fontId="0" fillId="0" borderId="0" xfId="0"/>
    <xf numFmtId="2" fontId="4" fillId="0" borderId="0" xfId="0" applyNumberFormat="1" applyFont="1"/>
    <xf numFmtId="0" fontId="4" fillId="0" borderId="0" xfId="0" applyFont="1"/>
    <xf numFmtId="4" fontId="4" fillId="0" borderId="0" xfId="0" applyNumberFormat="1" applyFont="1"/>
    <xf numFmtId="166" fontId="4" fillId="0" borderId="0" xfId="0" applyNumberFormat="1" applyFont="1"/>
    <xf numFmtId="3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0" fillId="0" borderId="0" xfId="0" applyNumberFormat="1"/>
    <xf numFmtId="0" fontId="11" fillId="0" borderId="0" xfId="1" applyFont="1" applyAlignment="1">
      <alignment horizontal="center"/>
    </xf>
    <xf numFmtId="0" fontId="12" fillId="0" borderId="0" xfId="1" applyFont="1"/>
    <xf numFmtId="4" fontId="6" fillId="0" borderId="0" xfId="1" applyNumberFormat="1" applyFont="1"/>
    <xf numFmtId="2" fontId="13" fillId="0" borderId="2" xfId="0" applyNumberFormat="1" applyFont="1" applyBorder="1" applyAlignment="1">
      <alignment horizontal="center"/>
    </xf>
    <xf numFmtId="2" fontId="13" fillId="0" borderId="2" xfId="0" applyNumberFormat="1" applyFont="1" applyBorder="1"/>
    <xf numFmtId="0" fontId="11" fillId="0" borderId="0" xfId="0" applyFont="1"/>
    <xf numFmtId="0" fontId="4" fillId="2" borderId="0" xfId="0" applyFont="1" applyFill="1"/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/>
    <xf numFmtId="0" fontId="13" fillId="0" borderId="2" xfId="0" applyFont="1" applyBorder="1" applyAlignment="1">
      <alignment horizontal="center"/>
    </xf>
    <xf numFmtId="0" fontId="13" fillId="0" borderId="2" xfId="0" applyFont="1" applyBorder="1"/>
    <xf numFmtId="0" fontId="7" fillId="0" borderId="0" xfId="1" applyFont="1"/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164" fontId="11" fillId="0" borderId="0" xfId="0" applyNumberFormat="1" applyFont="1"/>
    <xf numFmtId="0" fontId="7" fillId="0" borderId="0" xfId="1" applyFont="1" applyAlignment="1">
      <alignment horizontal="center" vertical="center"/>
    </xf>
    <xf numFmtId="0" fontId="7" fillId="0" borderId="0" xfId="1" applyFont="1" applyAlignment="1">
      <alignment vertical="center"/>
    </xf>
    <xf numFmtId="2" fontId="6" fillId="7" borderId="2" xfId="1" applyNumberFormat="1" applyFont="1" applyFill="1" applyBorder="1" applyAlignment="1">
      <alignment horizontal="center" vertical="center" wrapText="1"/>
    </xf>
    <xf numFmtId="2" fontId="6" fillId="17" borderId="2" xfId="1" applyNumberFormat="1" applyFont="1" applyFill="1" applyBorder="1" applyAlignment="1">
      <alignment horizontal="center" vertical="center" wrapText="1"/>
    </xf>
    <xf numFmtId="4" fontId="4" fillId="2" borderId="0" xfId="0" applyNumberFormat="1" applyFont="1" applyFill="1"/>
    <xf numFmtId="2" fontId="6" fillId="3" borderId="2" xfId="1" applyNumberFormat="1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7" borderId="2" xfId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6" borderId="1" xfId="0" applyFont="1" applyFill="1" applyBorder="1" applyAlignment="1">
      <alignment horizontal="center" vertical="center" wrapText="1"/>
    </xf>
    <xf numFmtId="0" fontId="6" fillId="0" borderId="2" xfId="1" applyFont="1" applyBorder="1" applyAlignment="1">
      <alignment horizontal="center" vertical="center"/>
    </xf>
    <xf numFmtId="0" fontId="11" fillId="7" borderId="2" xfId="1" applyFont="1" applyFill="1" applyBorder="1" applyAlignment="1">
      <alignment horizontal="left" vertical="center"/>
    </xf>
    <xf numFmtId="4" fontId="14" fillId="0" borderId="2" xfId="1" applyNumberFormat="1" applyFont="1" applyBorder="1" applyAlignment="1">
      <alignment horizontal="center"/>
    </xf>
    <xf numFmtId="2" fontId="11" fillId="0" borderId="2" xfId="1" applyNumberFormat="1" applyFont="1" applyBorder="1" applyAlignment="1">
      <alignment horizontal="center"/>
    </xf>
    <xf numFmtId="2" fontId="11" fillId="0" borderId="2" xfId="1" applyNumberFormat="1" applyFont="1" applyBorder="1" applyAlignment="1">
      <alignment horizontal="right" vertical="center"/>
    </xf>
    <xf numFmtId="2" fontId="15" fillId="8" borderId="2" xfId="1" applyNumberFormat="1" applyFont="1" applyFill="1" applyBorder="1" applyAlignment="1">
      <alignment horizontal="right" vertical="center"/>
    </xf>
    <xf numFmtId="2" fontId="11" fillId="0" borderId="2" xfId="1" applyNumberFormat="1" applyFont="1" applyBorder="1" applyAlignment="1">
      <alignment horizontal="center" vertical="center"/>
    </xf>
    <xf numFmtId="2" fontId="6" fillId="0" borderId="2" xfId="1" applyNumberFormat="1" applyFont="1" applyBorder="1" applyAlignment="1">
      <alignment horizontal="center" vertical="center"/>
    </xf>
    <xf numFmtId="4" fontId="7" fillId="0" borderId="2" xfId="1" applyNumberFormat="1" applyFont="1" applyBorder="1"/>
    <xf numFmtId="2" fontId="4" fillId="0" borderId="2" xfId="0" applyNumberFormat="1" applyFont="1" applyBorder="1"/>
    <xf numFmtId="39" fontId="16" fillId="0" borderId="2" xfId="0" applyNumberFormat="1" applyFont="1" applyBorder="1"/>
    <xf numFmtId="2" fontId="11" fillId="0" borderId="2" xfId="0" applyNumberFormat="1" applyFont="1" applyBorder="1"/>
    <xf numFmtId="2" fontId="11" fillId="0" borderId="0" xfId="0" applyNumberFormat="1" applyFont="1"/>
    <xf numFmtId="2" fontId="11" fillId="2" borderId="0" xfId="0" applyNumberFormat="1" applyFont="1" applyFill="1"/>
    <xf numFmtId="0" fontId="11" fillId="0" borderId="2" xfId="1" applyFont="1" applyBorder="1" applyAlignment="1">
      <alignment horizontal="left" vertical="center"/>
    </xf>
    <xf numFmtId="4" fontId="11" fillId="0" borderId="2" xfId="0" applyNumberFormat="1" applyFont="1" applyBorder="1" applyAlignment="1">
      <alignment horizontal="center"/>
    </xf>
    <xf numFmtId="2" fontId="17" fillId="0" borderId="2" xfId="0" applyNumberFormat="1" applyFont="1" applyBorder="1" applyAlignment="1">
      <alignment horizontal="center" vertical="center"/>
    </xf>
    <xf numFmtId="4" fontId="4" fillId="9" borderId="2" xfId="0" applyNumberFormat="1" applyFont="1" applyFill="1" applyBorder="1" applyAlignment="1">
      <alignment horizontal="center" vertical="center"/>
    </xf>
    <xf numFmtId="2" fontId="7" fillId="0" borderId="2" xfId="0" applyNumberFormat="1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4" fontId="4" fillId="0" borderId="2" xfId="0" applyNumberFormat="1" applyFont="1" applyBorder="1" applyAlignment="1">
      <alignment horizontal="center" vertical="center"/>
    </xf>
    <xf numFmtId="4" fontId="18" fillId="6" borderId="2" xfId="0" applyNumberFormat="1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6" fillId="0" borderId="2" xfId="1" applyFont="1" applyBorder="1" applyAlignment="1">
      <alignment horizontal="center"/>
    </xf>
    <xf numFmtId="0" fontId="11" fillId="7" borderId="2" xfId="1" applyFont="1" applyFill="1" applyBorder="1"/>
    <xf numFmtId="4" fontId="11" fillId="0" borderId="2" xfId="1" applyNumberFormat="1" applyFont="1" applyBorder="1"/>
    <xf numFmtId="4" fontId="7" fillId="0" borderId="2" xfId="1" applyNumberFormat="1" applyFont="1" applyBorder="1" applyAlignment="1">
      <alignment horizontal="center"/>
    </xf>
    <xf numFmtId="2" fontId="7" fillId="8" borderId="2" xfId="1" applyNumberFormat="1" applyFont="1" applyFill="1" applyBorder="1" applyAlignment="1">
      <alignment horizontal="right" vertical="center"/>
    </xf>
    <xf numFmtId="4" fontId="19" fillId="0" borderId="2" xfId="1" applyNumberFormat="1" applyFont="1" applyBorder="1" applyAlignment="1">
      <alignment horizontal="center"/>
    </xf>
    <xf numFmtId="2" fontId="19" fillId="8" borderId="2" xfId="1" applyNumberFormat="1" applyFont="1" applyFill="1" applyBorder="1" applyAlignment="1">
      <alignment horizontal="right" vertical="center"/>
    </xf>
    <xf numFmtId="0" fontId="11" fillId="7" borderId="2" xfId="0" applyFont="1" applyFill="1" applyBorder="1"/>
    <xf numFmtId="4" fontId="6" fillId="10" borderId="2" xfId="1" applyNumberFormat="1" applyFont="1" applyFill="1" applyBorder="1" applyAlignment="1">
      <alignment horizontal="center"/>
    </xf>
    <xf numFmtId="2" fontId="6" fillId="8" borderId="2" xfId="1" applyNumberFormat="1" applyFont="1" applyFill="1" applyBorder="1" applyAlignment="1">
      <alignment horizontal="right" vertical="center"/>
    </xf>
    <xf numFmtId="4" fontId="20" fillId="0" borderId="2" xfId="1" applyNumberFormat="1" applyFont="1" applyBorder="1" applyAlignment="1">
      <alignment horizontal="center"/>
    </xf>
    <xf numFmtId="2" fontId="17" fillId="8" borderId="2" xfId="1" applyNumberFormat="1" applyFont="1" applyFill="1" applyBorder="1" applyAlignment="1">
      <alignment horizontal="right" vertical="center"/>
    </xf>
    <xf numFmtId="4" fontId="8" fillId="0" borderId="2" xfId="1" applyNumberFormat="1" applyFont="1" applyBorder="1" applyAlignment="1">
      <alignment horizontal="center"/>
    </xf>
    <xf numFmtId="2" fontId="8" fillId="8" borderId="2" xfId="1" applyNumberFormat="1" applyFont="1" applyFill="1" applyBorder="1" applyAlignment="1">
      <alignment horizontal="right" vertical="center"/>
    </xf>
    <xf numFmtId="4" fontId="21" fillId="0" borderId="2" xfId="1" applyNumberFormat="1" applyFont="1" applyBorder="1" applyAlignment="1">
      <alignment horizontal="center"/>
    </xf>
    <xf numFmtId="2" fontId="22" fillId="8" borderId="2" xfId="1" applyNumberFormat="1" applyFont="1" applyFill="1" applyBorder="1" applyAlignment="1">
      <alignment horizontal="right" vertical="center"/>
    </xf>
    <xf numFmtId="0" fontId="11" fillId="11" borderId="2" xfId="1" applyFont="1" applyFill="1" applyBorder="1"/>
    <xf numFmtId="0" fontId="11" fillId="11" borderId="2" xfId="1" applyFont="1" applyFill="1" applyBorder="1" applyAlignment="1">
      <alignment horizontal="left" vertical="center"/>
    </xf>
    <xf numFmtId="0" fontId="11" fillId="0" borderId="2" xfId="1" applyFont="1" applyBorder="1"/>
    <xf numFmtId="0" fontId="11" fillId="12" borderId="2" xfId="1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0" borderId="2" xfId="1" applyFont="1" applyBorder="1"/>
    <xf numFmtId="4" fontId="15" fillId="3" borderId="2" xfId="1" applyNumberFormat="1" applyFont="1" applyFill="1" applyBorder="1" applyAlignment="1">
      <alignment horizontal="center"/>
    </xf>
    <xf numFmtId="4" fontId="6" fillId="3" borderId="2" xfId="1" applyNumberFormat="1" applyFont="1" applyFill="1" applyBorder="1" applyAlignment="1">
      <alignment horizontal="center"/>
    </xf>
    <xf numFmtId="0" fontId="11" fillId="3" borderId="2" xfId="1" applyFont="1" applyFill="1" applyBorder="1" applyAlignment="1">
      <alignment horizontal="left" vertical="center"/>
    </xf>
    <xf numFmtId="0" fontId="11" fillId="5" borderId="2" xfId="1" applyFont="1" applyFill="1" applyBorder="1" applyAlignment="1">
      <alignment horizontal="left" vertical="center"/>
    </xf>
    <xf numFmtId="4" fontId="23" fillId="0" borderId="2" xfId="1" applyNumberFormat="1" applyFont="1" applyBorder="1"/>
    <xf numFmtId="0" fontId="11" fillId="0" borderId="2" xfId="0" applyFont="1" applyBorder="1" applyAlignment="1">
      <alignment vertical="center"/>
    </xf>
    <xf numFmtId="0" fontId="11" fillId="13" borderId="2" xfId="1" applyFont="1" applyFill="1" applyBorder="1"/>
    <xf numFmtId="0" fontId="11" fillId="13" borderId="2" xfId="1" applyFont="1" applyFill="1" applyBorder="1" applyAlignment="1">
      <alignment horizontal="left" vertical="center"/>
    </xf>
    <xf numFmtId="4" fontId="11" fillId="3" borderId="2" xfId="1" applyNumberFormat="1" applyFont="1" applyFill="1" applyBorder="1"/>
    <xf numFmtId="0" fontId="6" fillId="0" borderId="0" xfId="1" applyFont="1" applyAlignment="1">
      <alignment horizontal="center" vertical="center"/>
    </xf>
    <xf numFmtId="0" fontId="11" fillId="0" borderId="0" xfId="1" applyFont="1"/>
    <xf numFmtId="4" fontId="14" fillId="0" borderId="0" xfId="1" applyNumberFormat="1" applyFont="1" applyAlignment="1">
      <alignment horizontal="center"/>
    </xf>
    <xf numFmtId="2" fontId="11" fillId="0" borderId="0" xfId="1" applyNumberFormat="1" applyFont="1" applyAlignment="1">
      <alignment horizontal="center"/>
    </xf>
    <xf numFmtId="4" fontId="23" fillId="0" borderId="0" xfId="1" applyNumberFormat="1" applyFont="1"/>
    <xf numFmtId="4" fontId="11" fillId="0" borderId="0" xfId="1" applyNumberFormat="1" applyFont="1"/>
    <xf numFmtId="2" fontId="11" fillId="0" borderId="0" xfId="1" applyNumberFormat="1" applyFont="1" applyAlignment="1">
      <alignment horizontal="center" vertical="center"/>
    </xf>
    <xf numFmtId="4" fontId="7" fillId="0" borderId="0" xfId="1" applyNumberFormat="1" applyFont="1"/>
    <xf numFmtId="39" fontId="4" fillId="0" borderId="0" xfId="0" applyNumberFormat="1" applyFont="1"/>
    <xf numFmtId="39" fontId="16" fillId="0" borderId="0" xfId="0" applyNumberFormat="1" applyFont="1"/>
    <xf numFmtId="0" fontId="11" fillId="0" borderId="0" xfId="1" applyFont="1" applyAlignment="1">
      <alignment horizontal="left" vertical="center"/>
    </xf>
    <xf numFmtId="4" fontId="11" fillId="0" borderId="0" xfId="0" applyNumberFormat="1" applyFont="1" applyAlignment="1">
      <alignment horizontal="center"/>
    </xf>
    <xf numFmtId="2" fontId="17" fillId="0" borderId="0" xfId="0" applyNumberFormat="1" applyFont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0" fontId="6" fillId="0" borderId="0" xfId="1" applyFont="1" applyAlignment="1">
      <alignment horizontal="center"/>
    </xf>
    <xf numFmtId="0" fontId="12" fillId="0" borderId="0" xfId="1" applyFont="1" applyAlignment="1">
      <alignment horizontal="center"/>
    </xf>
    <xf numFmtId="4" fontId="12" fillId="0" borderId="0" xfId="1" applyNumberFormat="1" applyFont="1"/>
    <xf numFmtId="39" fontId="11" fillId="0" borderId="0" xfId="0" applyNumberFormat="1" applyFont="1"/>
    <xf numFmtId="4" fontId="6" fillId="2" borderId="0" xfId="1" applyNumberFormat="1" applyFont="1" applyFill="1"/>
    <xf numFmtId="4" fontId="6" fillId="0" borderId="0" xfId="1" applyNumberFormat="1" applyFont="1" applyAlignment="1">
      <alignment horizontal="center" vertical="center"/>
    </xf>
    <xf numFmtId="2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2" fontId="4" fillId="0" borderId="0" xfId="0" applyNumberFormat="1" applyFont="1" applyAlignment="1">
      <alignment horizontal="center" vertical="center"/>
    </xf>
    <xf numFmtId="39" fontId="11" fillId="0" borderId="0" xfId="0" applyNumberFormat="1" applyFont="1" applyAlignment="1">
      <alignment horizontal="left" vertical="center"/>
    </xf>
    <xf numFmtId="2" fontId="11" fillId="0" borderId="0" xfId="0" applyNumberFormat="1" applyFont="1" applyAlignment="1">
      <alignment horizontal="left" vertical="center"/>
    </xf>
    <xf numFmtId="39" fontId="7" fillId="15" borderId="0" xfId="0" applyNumberFormat="1" applyFont="1" applyFill="1" applyAlignment="1">
      <alignment horizontal="left"/>
    </xf>
    <xf numFmtId="4" fontId="24" fillId="15" borderId="0" xfId="0" applyNumberFormat="1" applyFont="1" applyFill="1"/>
    <xf numFmtId="2" fontId="11" fillId="15" borderId="0" xfId="0" applyNumberFormat="1" applyFont="1" applyFill="1"/>
    <xf numFmtId="4" fontId="15" fillId="14" borderId="2" xfId="1" applyNumberFormat="1" applyFont="1" applyFill="1" applyBorder="1" applyAlignment="1">
      <alignment horizontal="center"/>
    </xf>
    <xf numFmtId="4" fontId="15" fillId="0" borderId="2" xfId="1" applyNumberFormat="1" applyFont="1" applyBorder="1" applyAlignment="1">
      <alignment horizontal="center"/>
    </xf>
    <xf numFmtId="4" fontId="7" fillId="3" borderId="2" xfId="1" applyNumberFormat="1" applyFont="1" applyFill="1" applyBorder="1" applyAlignment="1">
      <alignment horizontal="center"/>
    </xf>
    <xf numFmtId="4" fontId="6" fillId="0" borderId="2" xfId="1" applyNumberFormat="1" applyFont="1" applyBorder="1" applyAlignment="1">
      <alignment horizontal="center" vertical="center"/>
    </xf>
    <xf numFmtId="0" fontId="6" fillId="18" borderId="4" xfId="1" applyFont="1" applyFill="1" applyBorder="1" applyAlignment="1">
      <alignment horizontal="center" vertical="center" wrapText="1"/>
    </xf>
    <xf numFmtId="4" fontId="6" fillId="0" borderId="2" xfId="1" applyNumberFormat="1" applyFont="1" applyBorder="1" applyAlignment="1">
      <alignment horizontal="center"/>
    </xf>
    <xf numFmtId="0" fontId="6" fillId="21" borderId="4" xfId="1" applyFont="1" applyFill="1" applyBorder="1" applyAlignment="1">
      <alignment horizontal="center" vertical="center" wrapText="1"/>
    </xf>
    <xf numFmtId="0" fontId="7" fillId="0" borderId="6" xfId="1" applyFont="1" applyBorder="1" applyAlignment="1">
      <alignment vertical="center"/>
    </xf>
    <xf numFmtId="0" fontId="6" fillId="5" borderId="4" xfId="1" applyFont="1" applyFill="1" applyBorder="1" applyAlignment="1">
      <alignment horizontal="center" vertical="center" wrapText="1"/>
    </xf>
    <xf numFmtId="0" fontId="6" fillId="18" borderId="4" xfId="1" applyFont="1" applyFill="1" applyBorder="1" applyAlignment="1">
      <alignment horizontal="center" wrapText="1"/>
    </xf>
    <xf numFmtId="2" fontId="6" fillId="18" borderId="2" xfId="1" applyNumberFormat="1" applyFont="1" applyFill="1" applyBorder="1" applyAlignment="1">
      <alignment horizontal="center" wrapText="1"/>
    </xf>
    <xf numFmtId="0" fontId="6" fillId="18" borderId="2" xfId="1" applyFont="1" applyFill="1" applyBorder="1" applyAlignment="1">
      <alignment horizontal="center" wrapText="1"/>
    </xf>
    <xf numFmtId="0" fontId="29" fillId="23" borderId="15" xfId="0" applyFont="1" applyFill="1" applyBorder="1" applyAlignment="1">
      <alignment horizontal="center" vertical="center" wrapText="1"/>
    </xf>
    <xf numFmtId="0" fontId="29" fillId="23" borderId="15" xfId="0" applyFont="1" applyFill="1" applyBorder="1" applyAlignment="1">
      <alignment horizontal="right" vertical="center" wrapText="1"/>
    </xf>
    <xf numFmtId="10" fontId="29" fillId="23" borderId="15" xfId="0" applyNumberFormat="1" applyFont="1" applyFill="1" applyBorder="1" applyAlignment="1">
      <alignment horizontal="right" vertical="center" wrapText="1"/>
    </xf>
    <xf numFmtId="0" fontId="30" fillId="25" borderId="11" xfId="0" applyFont="1" applyFill="1" applyBorder="1" applyAlignment="1">
      <alignment horizontal="center" vertical="center" wrapText="1"/>
    </xf>
    <xf numFmtId="0" fontId="30" fillId="26" borderId="11" xfId="0" applyFont="1" applyFill="1" applyBorder="1" applyAlignment="1">
      <alignment horizontal="center" vertical="center" wrapText="1"/>
    </xf>
    <xf numFmtId="0" fontId="30" fillId="27" borderId="11" xfId="0" applyFont="1" applyFill="1" applyBorder="1" applyAlignment="1">
      <alignment horizontal="center" vertical="center" wrapText="1"/>
    </xf>
    <xf numFmtId="0" fontId="30" fillId="25" borderId="12" xfId="0" applyFont="1" applyFill="1" applyBorder="1" applyAlignment="1">
      <alignment horizontal="center" vertical="center" wrapText="1"/>
    </xf>
    <xf numFmtId="0" fontId="30" fillId="26" borderId="12" xfId="0" applyFont="1" applyFill="1" applyBorder="1" applyAlignment="1">
      <alignment horizontal="center" vertical="center" wrapText="1"/>
    </xf>
    <xf numFmtId="0" fontId="30" fillId="27" borderId="12" xfId="0" applyFont="1" applyFill="1" applyBorder="1" applyAlignment="1">
      <alignment horizontal="center" vertical="center" wrapText="1"/>
    </xf>
    <xf numFmtId="0" fontId="32" fillId="27" borderId="12" xfId="0" applyFont="1" applyFill="1" applyBorder="1" applyAlignment="1">
      <alignment horizontal="center" vertical="center" wrapText="1"/>
    </xf>
    <xf numFmtId="0" fontId="32" fillId="25" borderId="13" xfId="0" applyFont="1" applyFill="1" applyBorder="1" applyAlignment="1">
      <alignment horizontal="center" vertical="center" wrapText="1"/>
    </xf>
    <xf numFmtId="0" fontId="30" fillId="26" borderId="14" xfId="0" applyFont="1" applyFill="1" applyBorder="1" applyAlignment="1">
      <alignment horizontal="center" vertical="center" wrapText="1"/>
    </xf>
    <xf numFmtId="0" fontId="32" fillId="27" borderId="13" xfId="0" applyFont="1" applyFill="1" applyBorder="1" applyAlignment="1">
      <alignment horizontal="center" vertical="center" wrapText="1"/>
    </xf>
    <xf numFmtId="0" fontId="33" fillId="27" borderId="13" xfId="0" applyFont="1" applyFill="1" applyBorder="1" applyAlignment="1">
      <alignment vertical="center" wrapText="1"/>
    </xf>
    <xf numFmtId="4" fontId="6" fillId="8" borderId="2" xfId="1" applyNumberFormat="1" applyFont="1" applyFill="1" applyBorder="1" applyAlignment="1">
      <alignment horizontal="center"/>
    </xf>
    <xf numFmtId="10" fontId="4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17" borderId="2" xfId="1" applyFont="1" applyFill="1" applyBorder="1" applyAlignment="1">
      <alignment horizontal="center" vertical="center" wrapText="1"/>
    </xf>
    <xf numFmtId="4" fontId="6" fillId="17" borderId="2" xfId="1" applyNumberFormat="1" applyFont="1" applyFill="1" applyBorder="1" applyAlignment="1">
      <alignment horizontal="center" vertical="center" wrapText="1"/>
    </xf>
    <xf numFmtId="2" fontId="6" fillId="16" borderId="2" xfId="1" applyNumberFormat="1" applyFont="1" applyFill="1" applyBorder="1" applyAlignment="1">
      <alignment horizontal="right" vertical="center"/>
    </xf>
    <xf numFmtId="0" fontId="6" fillId="20" borderId="4" xfId="1" applyFont="1" applyFill="1" applyBorder="1" applyAlignment="1">
      <alignment horizontal="center" wrapText="1"/>
    </xf>
    <xf numFmtId="4" fontId="6" fillId="22" borderId="2" xfId="1" applyNumberFormat="1" applyFont="1" applyFill="1" applyBorder="1" applyAlignment="1">
      <alignment horizontal="center"/>
    </xf>
    <xf numFmtId="0" fontId="6" fillId="5" borderId="9" xfId="1" applyFont="1" applyFill="1" applyBorder="1" applyAlignment="1">
      <alignment vertical="center" wrapText="1"/>
    </xf>
    <xf numFmtId="0" fontId="6" fillId="5" borderId="8" xfId="1" applyFont="1" applyFill="1" applyBorder="1" applyAlignment="1">
      <alignment vertical="center" wrapText="1"/>
    </xf>
    <xf numFmtId="0" fontId="6" fillId="7" borderId="4" xfId="1" applyFont="1" applyFill="1" applyBorder="1" applyAlignment="1">
      <alignment horizontal="center" textRotation="90" wrapText="1"/>
    </xf>
    <xf numFmtId="0" fontId="6" fillId="7" borderId="10" xfId="1" applyFont="1" applyFill="1" applyBorder="1" applyAlignment="1">
      <alignment horizontal="center" textRotation="90" wrapText="1"/>
    </xf>
    <xf numFmtId="0" fontId="6" fillId="9" borderId="10" xfId="1" applyFont="1" applyFill="1" applyBorder="1" applyAlignment="1">
      <alignment horizontal="center" textRotation="90" wrapText="1"/>
    </xf>
    <xf numFmtId="3" fontId="6" fillId="8" borderId="2" xfId="1" applyNumberFormat="1" applyFont="1" applyFill="1" applyBorder="1" applyAlignment="1">
      <alignment horizontal="center"/>
    </xf>
    <xf numFmtId="3" fontId="11" fillId="0" borderId="2" xfId="1" applyNumberFormat="1" applyFont="1" applyBorder="1" applyAlignment="1">
      <alignment horizontal="center"/>
    </xf>
    <xf numFmtId="9" fontId="4" fillId="0" borderId="0" xfId="0" applyNumberFormat="1" applyFont="1"/>
    <xf numFmtId="0" fontId="11" fillId="0" borderId="2" xfId="0" applyFont="1" applyBorder="1"/>
    <xf numFmtId="0" fontId="7" fillId="0" borderId="0" xfId="1" applyFont="1" applyAlignment="1">
      <alignment horizontal="center" vertical="center"/>
    </xf>
    <xf numFmtId="0" fontId="6" fillId="12" borderId="2" xfId="1" applyFont="1" applyFill="1" applyBorder="1" applyAlignment="1">
      <alignment horizontal="center" vertical="center" wrapText="1"/>
    </xf>
    <xf numFmtId="0" fontId="6" fillId="19" borderId="2" xfId="1" applyFont="1" applyFill="1" applyBorder="1" applyAlignment="1">
      <alignment horizontal="center" vertical="center"/>
    </xf>
    <xf numFmtId="0" fontId="6" fillId="7" borderId="2" xfId="1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6" fillId="18" borderId="2" xfId="1" applyFont="1" applyFill="1" applyBorder="1" applyAlignment="1">
      <alignment horizontal="center" vertical="center"/>
    </xf>
    <xf numFmtId="0" fontId="6" fillId="3" borderId="2" xfId="1" applyFont="1" applyFill="1" applyBorder="1" applyAlignment="1">
      <alignment horizontal="center"/>
    </xf>
    <xf numFmtId="0" fontId="6" fillId="18" borderId="2" xfId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2" fontId="6" fillId="7" borderId="2" xfId="1" applyNumberFormat="1" applyFont="1" applyFill="1" applyBorder="1" applyAlignment="1">
      <alignment horizontal="center" vertical="center" wrapText="1"/>
    </xf>
    <xf numFmtId="2" fontId="6" fillId="17" borderId="2" xfId="1" applyNumberFormat="1" applyFont="1" applyFill="1" applyBorder="1" applyAlignment="1">
      <alignment horizontal="center" vertical="center" wrapText="1"/>
    </xf>
    <xf numFmtId="0" fontId="5" fillId="19" borderId="2" xfId="0" applyFont="1" applyFill="1" applyBorder="1" applyAlignment="1">
      <alignment horizontal="center" vertical="center" wrapText="1"/>
    </xf>
    <xf numFmtId="0" fontId="6" fillId="18" borderId="2" xfId="0" applyFont="1" applyFill="1" applyBorder="1" applyAlignment="1">
      <alignment horizontal="center" vertical="center" wrapText="1"/>
    </xf>
    <xf numFmtId="4" fontId="6" fillId="18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4" fontId="6" fillId="9" borderId="2" xfId="1" applyNumberFormat="1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 wrapText="1"/>
    </xf>
    <xf numFmtId="0" fontId="6" fillId="17" borderId="2" xfId="1" applyFont="1" applyFill="1" applyBorder="1" applyAlignment="1">
      <alignment horizontal="center" vertical="center" wrapText="1"/>
    </xf>
    <xf numFmtId="0" fontId="6" fillId="18" borderId="3" xfId="1" applyFont="1" applyFill="1" applyBorder="1" applyAlignment="1">
      <alignment horizontal="center" vertical="center" wrapText="1"/>
    </xf>
    <xf numFmtId="0" fontId="6" fillId="18" borderId="9" xfId="1" applyFont="1" applyFill="1" applyBorder="1" applyAlignment="1">
      <alignment horizontal="center" vertical="center" wrapText="1"/>
    </xf>
    <xf numFmtId="0" fontId="6" fillId="18" borderId="8" xfId="1" applyFont="1" applyFill="1" applyBorder="1" applyAlignment="1">
      <alignment horizontal="center" vertical="center" wrapText="1"/>
    </xf>
    <xf numFmtId="0" fontId="6" fillId="18" borderId="7" xfId="1" applyFont="1" applyFill="1" applyBorder="1" applyAlignment="1">
      <alignment horizontal="center" vertical="center"/>
    </xf>
    <xf numFmtId="0" fontId="6" fillId="18" borderId="4" xfId="1" applyFont="1" applyFill="1" applyBorder="1" applyAlignment="1">
      <alignment horizontal="center" vertical="center"/>
    </xf>
    <xf numFmtId="0" fontId="6" fillId="18" borderId="7" xfId="1" applyFont="1" applyFill="1" applyBorder="1" applyAlignment="1">
      <alignment horizontal="center" vertical="center" wrapText="1"/>
    </xf>
    <xf numFmtId="0" fontId="6" fillId="18" borderId="4" xfId="1" applyFont="1" applyFill="1" applyBorder="1" applyAlignment="1">
      <alignment horizontal="center" vertical="center" wrapText="1"/>
    </xf>
    <xf numFmtId="0" fontId="6" fillId="18" borderId="3" xfId="1" applyFont="1" applyFill="1" applyBorder="1" applyAlignment="1">
      <alignment horizontal="center"/>
    </xf>
    <xf numFmtId="0" fontId="6" fillId="18" borderId="9" xfId="1" applyFont="1" applyFill="1" applyBorder="1" applyAlignment="1">
      <alignment horizontal="center"/>
    </xf>
    <xf numFmtId="0" fontId="6" fillId="18" borderId="8" xfId="1" applyFont="1" applyFill="1" applyBorder="1" applyAlignment="1">
      <alignment horizontal="center"/>
    </xf>
    <xf numFmtId="0" fontId="6" fillId="12" borderId="7" xfId="1" applyFont="1" applyFill="1" applyBorder="1" applyAlignment="1">
      <alignment horizontal="center" vertical="center" wrapText="1"/>
    </xf>
    <xf numFmtId="0" fontId="6" fillId="12" borderId="4" xfId="1" applyFont="1" applyFill="1" applyBorder="1" applyAlignment="1">
      <alignment horizontal="center" vertical="center" wrapText="1"/>
    </xf>
    <xf numFmtId="0" fontId="6" fillId="7" borderId="3" xfId="1" applyFont="1" applyFill="1" applyBorder="1" applyAlignment="1">
      <alignment horizontal="center" vertical="center" wrapText="1"/>
    </xf>
    <xf numFmtId="0" fontId="6" fillId="7" borderId="9" xfId="1" applyFont="1" applyFill="1" applyBorder="1" applyAlignment="1">
      <alignment horizontal="center" vertical="center" wrapText="1"/>
    </xf>
    <xf numFmtId="0" fontId="6" fillId="9" borderId="2" xfId="1" applyFont="1" applyFill="1" applyBorder="1" applyAlignment="1">
      <alignment horizontal="center" vertical="center" wrapText="1"/>
    </xf>
    <xf numFmtId="0" fontId="30" fillId="24" borderId="16" xfId="0" applyFont="1" applyFill="1" applyBorder="1" applyAlignment="1">
      <alignment horizontal="center" vertical="center" wrapText="1"/>
    </xf>
    <xf numFmtId="0" fontId="30" fillId="24" borderId="17" xfId="0" applyFont="1" applyFill="1" applyBorder="1" applyAlignment="1">
      <alignment horizontal="center" vertical="center" wrapText="1"/>
    </xf>
    <xf numFmtId="0" fontId="30" fillId="24" borderId="18" xfId="0" applyFont="1" applyFill="1" applyBorder="1" applyAlignment="1">
      <alignment horizontal="center" vertical="center" wrapText="1"/>
    </xf>
    <xf numFmtId="0" fontId="30" fillId="27" borderId="16" xfId="0" applyFont="1" applyFill="1" applyBorder="1" applyAlignment="1">
      <alignment horizontal="center" vertical="center" wrapText="1"/>
    </xf>
    <xf numFmtId="0" fontId="30" fillId="27" borderId="17" xfId="0" applyFont="1" applyFill="1" applyBorder="1" applyAlignment="1">
      <alignment horizontal="center" vertical="center" wrapText="1"/>
    </xf>
    <xf numFmtId="0" fontId="30" fillId="27" borderId="18" xfId="0" applyFont="1" applyFill="1" applyBorder="1" applyAlignment="1">
      <alignment horizontal="center" vertical="center" wrapText="1"/>
    </xf>
    <xf numFmtId="0" fontId="3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26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left" vertical="center"/>
    </xf>
    <xf numFmtId="0" fontId="23" fillId="0" borderId="0" xfId="0" applyFont="1" applyBorder="1" applyAlignment="1">
      <alignment horizontal="center" vertical="center"/>
    </xf>
    <xf numFmtId="2" fontId="6" fillId="3" borderId="0" xfId="0" applyNumberFormat="1" applyFont="1" applyFill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36" fillId="0" borderId="0" xfId="0" applyFont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2" fontId="14" fillId="0" borderId="0" xfId="0" applyNumberFormat="1" applyFont="1" applyBorder="1" applyAlignment="1">
      <alignment horizontal="center" vertical="center"/>
    </xf>
    <xf numFmtId="2" fontId="18" fillId="0" borderId="0" xfId="0" applyNumberFormat="1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2" fontId="15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165" fontId="26" fillId="0" borderId="0" xfId="0" applyNumberFormat="1" applyFont="1" applyBorder="1" applyAlignment="1">
      <alignment horizontal="center" vertical="center" wrapText="1"/>
    </xf>
    <xf numFmtId="43" fontId="11" fillId="0" borderId="0" xfId="2" applyFont="1" applyFill="1" applyBorder="1" applyAlignment="1">
      <alignment horizontal="center" vertical="center"/>
    </xf>
    <xf numFmtId="43" fontId="6" fillId="3" borderId="0" xfId="2" applyFont="1" applyFill="1" applyBorder="1" applyAlignment="1">
      <alignment horizontal="center" vertical="center"/>
    </xf>
    <xf numFmtId="171" fontId="5" fillId="0" borderId="0" xfId="0" applyNumberFormat="1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2" fontId="7" fillId="0" borderId="0" xfId="0" applyNumberFormat="1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 wrapText="1"/>
    </xf>
  </cellXfs>
  <cellStyles count="3">
    <cellStyle name="Millares" xfId="2" builtinId="3"/>
    <cellStyle name="Normal" xfId="0" builtinId="0"/>
    <cellStyle name="Normal 2" xfId="1" xr:uid="{E58CF79A-8D44-4706-8AD8-0A316D960C6F}"/>
  </cellStyles>
  <dxfs count="14"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66675</xdr:colOff>
      <xdr:row>0</xdr:row>
      <xdr:rowOff>0</xdr:rowOff>
    </xdr:from>
    <xdr:to>
      <xdr:col>33</xdr:col>
      <xdr:colOff>790575</xdr:colOff>
      <xdr:row>1</xdr:row>
      <xdr:rowOff>180975</xdr:rowOff>
    </xdr:to>
    <xdr:sp macro="" textlink="">
      <xdr:nvSpPr>
        <xdr:cNvPr id="3" name="1 Llamada con línea 2">
          <a:extLst>
            <a:ext uri="{FF2B5EF4-FFF2-40B4-BE49-F238E27FC236}">
              <a16:creationId xmlns:a16="http://schemas.microsoft.com/office/drawing/2014/main" id="{404CA382-9CD0-48B0-9068-BADD3212DA83}"/>
            </a:ext>
          </a:extLst>
        </xdr:cNvPr>
        <xdr:cNvSpPr/>
      </xdr:nvSpPr>
      <xdr:spPr>
        <a:xfrm>
          <a:off x="24092535" y="47625"/>
          <a:ext cx="1508760" cy="514350"/>
        </a:xfrm>
        <a:prstGeom prst="borderCallout2">
          <a:avLst>
            <a:gd name="adj1" fmla="val 18750"/>
            <a:gd name="adj2" fmla="val -1282"/>
            <a:gd name="adj3" fmla="val 18750"/>
            <a:gd name="adj4" fmla="val -16667"/>
            <a:gd name="adj5" fmla="val 183146"/>
            <a:gd name="adj6" fmla="val -45776"/>
          </a:avLst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800"/>
            <a:t>Cambiar</a:t>
          </a:r>
          <a:r>
            <a:rPr lang="es-PE" sz="800" baseline="0"/>
            <a:t> a fin de mes de acuerdo al maximo de horas trabajadas</a:t>
          </a:r>
          <a:endParaRPr lang="es-PE" sz="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F47843-3995-4429-8D02-2C0FBA636C64}" name="tabla_descuentos" displayName="tabla_descuentos" ref="AK5:AO14" totalsRowShown="0" headerRowDxfId="13" dataDxfId="12">
  <autoFilter ref="AK5:AO14" xr:uid="{08F47843-3995-4429-8D02-2C0FBA636C64}"/>
  <tableColumns count="5">
    <tableColumn id="1" xr3:uid="{2A159300-52DD-4B6E-ABBB-45C36FF3896E}" name="SEGURO" dataDxfId="11"/>
    <tableColumn id="2" xr3:uid="{9EB8D62C-3524-4B9E-B59C-7486DF8C5BA8}" name="% DESC" dataDxfId="10"/>
    <tableColumn id="4" xr3:uid="{7089D6DB-C30B-45FC-B9D5-3829FF89AF4E}" name="% PRIMA" dataDxfId="9"/>
    <tableColumn id="5" xr3:uid="{A8F60BAF-3975-4529-AE4A-D8D510DC6ABD}" name="% PRIMA &gt; 65" dataDxfId="8"/>
    <tableColumn id="3" xr3:uid="{49C2AF0E-FED6-4DB5-BE67-43A4DD3FE286}" name="APORTE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8804BA-11AE-4B5B-BC18-44919032367E}" name="tbl_descuentos" displayName="tbl_descuentos" ref="AS8:AW17" totalsRowShown="0" headerRowDxfId="6" dataDxfId="5">
  <autoFilter ref="AS8:AW17" xr:uid="{818804BA-11AE-4B5B-BC18-44919032367E}"/>
  <tableColumns count="5">
    <tableColumn id="1" xr3:uid="{7169C121-7AA1-47AB-9629-CEAAF7DCE379}" name="SEGURO" dataDxfId="4"/>
    <tableColumn id="2" xr3:uid="{C1EF3C23-42C6-4A88-AB69-2A650763185A}" name="% DESC" dataDxfId="3"/>
    <tableColumn id="4" xr3:uid="{47B6E14E-A927-4873-959F-E09B80DD02EA}" name="% PRIMA" dataDxfId="2"/>
    <tableColumn id="5" xr3:uid="{E84555D7-B7BE-42E9-99C1-84E7C3EA346C}" name="% PRIMA &gt; 65" dataDxfId="1"/>
    <tableColumn id="3" xr3:uid="{B24F978A-E0F0-412C-B4AE-4515AF686622}" name="APOR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79F44-8EAB-48B9-A4A9-4B735FB4E960}">
  <dimension ref="A1:AO60"/>
  <sheetViews>
    <sheetView zoomScale="115" zoomScaleNormal="115" workbookViewId="0">
      <selection activeCell="A61" sqref="A61:XFD74"/>
    </sheetView>
  </sheetViews>
  <sheetFormatPr baseColWidth="10" defaultRowHeight="13.8" outlineLevelCol="1"/>
  <cols>
    <col min="1" max="1" width="4.33203125" style="6" customWidth="1" outlineLevel="1"/>
    <col min="2" max="2" width="28.88671875" style="2" customWidth="1" outlineLevel="1"/>
    <col min="3" max="3" width="8.44140625" style="2" customWidth="1" outlineLevel="1"/>
    <col min="4" max="4" width="14.5546875" style="2" customWidth="1" outlineLevel="1"/>
    <col min="5" max="5" width="11.6640625" style="2" customWidth="1" outlineLevel="1"/>
    <col min="6" max="6" width="9.6640625" style="2" customWidth="1" outlineLevel="1"/>
    <col min="7" max="7" width="10.33203125" style="2" customWidth="1" outlineLevel="1"/>
    <col min="8" max="8" width="10.6640625" style="2" customWidth="1" outlineLevel="1"/>
    <col min="9" max="9" width="12.33203125" style="2" customWidth="1" outlineLevel="1"/>
    <col min="10" max="10" width="10.6640625" style="2" customWidth="1" outlineLevel="1"/>
    <col min="11" max="11" width="9.6640625" style="2" customWidth="1" outlineLevel="1"/>
    <col min="12" max="12" width="10" style="2" customWidth="1" outlineLevel="1"/>
    <col min="13" max="13" width="9.77734375" style="2" customWidth="1" outlineLevel="1"/>
    <col min="14" max="15" width="10.109375" style="2" customWidth="1" outlineLevel="1"/>
    <col min="16" max="16" width="9.44140625" style="2" customWidth="1" outlineLevel="1"/>
    <col min="17" max="17" width="10.44140625" style="2" customWidth="1" outlineLevel="1"/>
    <col min="18" max="18" width="8.109375" style="2" customWidth="1" outlineLevel="1"/>
    <col min="19" max="19" width="14.5546875" style="3" customWidth="1" outlineLevel="1"/>
    <col min="20" max="20" width="12.88671875" style="2" customWidth="1" outlineLevel="1"/>
    <col min="21" max="21" width="9.44140625" style="17" customWidth="1" outlineLevel="1"/>
    <col min="22" max="22" width="7.6640625" style="17" customWidth="1" outlineLevel="1"/>
    <col min="23" max="23" width="3.21875" style="18" customWidth="1"/>
    <col min="24" max="24" width="3.6640625" style="10" customWidth="1"/>
    <col min="25" max="25" width="30.6640625" style="2" bestFit="1" customWidth="1"/>
    <col min="26" max="26" width="12.6640625" style="6" customWidth="1"/>
    <col min="27" max="27" width="11.5546875" style="2" customWidth="1" outlineLevel="1"/>
    <col min="28" max="28" width="13.109375" style="2" customWidth="1" outlineLevel="1"/>
    <col min="29" max="29" width="11" style="2" customWidth="1" outlineLevel="1"/>
    <col min="30" max="30" width="11.44140625" style="2" customWidth="1" outlineLevel="1"/>
    <col min="31" max="31" width="4.44140625" style="2" customWidth="1" outlineLevel="1"/>
    <col min="32" max="32" width="11.88671875" style="10" customWidth="1"/>
    <col min="33" max="33" width="11.44140625" style="10" customWidth="1"/>
    <col min="34" max="34" width="16.33203125" style="20" customWidth="1"/>
    <col min="35" max="35" width="13.5546875" style="2" customWidth="1"/>
    <col min="36" max="16384" width="11.5546875" style="2"/>
  </cols>
  <sheetData>
    <row r="1" spans="1:4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5">
        <f>R2*8</f>
        <v>216</v>
      </c>
      <c r="S1" s="16" t="s">
        <v>1</v>
      </c>
      <c r="U1" s="1"/>
      <c r="V1" s="2"/>
      <c r="X1" s="19"/>
      <c r="Y1" s="10" t="s">
        <v>2</v>
      </c>
    </row>
    <row r="2" spans="1:41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21">
        <v>27</v>
      </c>
      <c r="S2" s="22" t="s">
        <v>42</v>
      </c>
      <c r="U2" s="2"/>
      <c r="V2" s="3"/>
      <c r="AC2" s="1"/>
    </row>
    <row r="3" spans="1:41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4">
        <v>31</v>
      </c>
      <c r="S3" s="25" t="s">
        <v>43</v>
      </c>
      <c r="U3" s="26"/>
      <c r="X3" s="164"/>
      <c r="Y3" s="164"/>
      <c r="Z3" s="164"/>
      <c r="AA3" s="164"/>
      <c r="AB3" s="164"/>
      <c r="AC3" s="164"/>
      <c r="AD3" s="164"/>
      <c r="AE3" s="28"/>
      <c r="AF3" s="164" t="s">
        <v>4</v>
      </c>
      <c r="AG3" s="164"/>
      <c r="AH3" s="164"/>
      <c r="AI3" s="164"/>
    </row>
    <row r="4" spans="1:41" ht="20.399999999999999" customHeight="1">
      <c r="A4" s="169" t="s">
        <v>37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X4" s="164" t="s">
        <v>3</v>
      </c>
      <c r="Y4" s="164"/>
      <c r="Z4" s="164"/>
      <c r="AA4" s="164"/>
      <c r="AB4" s="164"/>
      <c r="AC4" s="164"/>
      <c r="AD4" s="164"/>
      <c r="AE4" s="28"/>
      <c r="AF4" s="27"/>
      <c r="AG4" s="27"/>
      <c r="AH4" s="27"/>
      <c r="AI4" s="27"/>
    </row>
    <row r="5" spans="1:41" ht="15" customHeight="1" thickBot="1">
      <c r="A5" s="171" t="s">
        <v>6</v>
      </c>
      <c r="B5" s="171" t="s">
        <v>7</v>
      </c>
      <c r="C5" s="173" t="s">
        <v>8</v>
      </c>
      <c r="D5" s="172" t="s">
        <v>5</v>
      </c>
      <c r="E5" s="172"/>
      <c r="F5" s="172"/>
      <c r="G5" s="172"/>
      <c r="H5" s="165" t="s">
        <v>5</v>
      </c>
      <c r="I5" s="165" t="s">
        <v>41</v>
      </c>
      <c r="J5" s="167" t="s">
        <v>38</v>
      </c>
      <c r="K5" s="175" t="s">
        <v>44</v>
      </c>
      <c r="L5" s="175"/>
      <c r="M5" s="175"/>
      <c r="N5" s="175"/>
      <c r="O5" s="176" t="s">
        <v>47</v>
      </c>
      <c r="P5" s="176"/>
      <c r="Q5" s="176"/>
      <c r="R5" s="176"/>
      <c r="S5" s="181" t="s">
        <v>45</v>
      </c>
      <c r="T5" s="180" t="s">
        <v>46</v>
      </c>
      <c r="U5" s="179" t="s">
        <v>17</v>
      </c>
      <c r="V5" s="178" t="s">
        <v>18</v>
      </c>
      <c r="W5" s="31"/>
      <c r="X5" s="166" t="s">
        <v>6</v>
      </c>
      <c r="Y5" s="166" t="s">
        <v>7</v>
      </c>
      <c r="Z5" s="177" t="s">
        <v>19</v>
      </c>
      <c r="AA5" s="177" t="s">
        <v>20</v>
      </c>
      <c r="AB5" s="177" t="s">
        <v>21</v>
      </c>
      <c r="AC5" s="177" t="s">
        <v>22</v>
      </c>
      <c r="AD5" s="177" t="s">
        <v>23</v>
      </c>
      <c r="AF5" s="174" t="s">
        <v>24</v>
      </c>
      <c r="AG5" s="168" t="s">
        <v>25</v>
      </c>
      <c r="AK5" s="10" t="s">
        <v>90</v>
      </c>
      <c r="AL5" s="10" t="s">
        <v>89</v>
      </c>
      <c r="AM5" s="10" t="s">
        <v>91</v>
      </c>
      <c r="AN5" s="10" t="s">
        <v>92</v>
      </c>
      <c r="AO5" s="10" t="s">
        <v>117</v>
      </c>
    </row>
    <row r="6" spans="1:41" ht="39.6" customHeight="1">
      <c r="A6" s="171"/>
      <c r="B6" s="171"/>
      <c r="C6" s="173"/>
      <c r="D6" s="32" t="s">
        <v>9</v>
      </c>
      <c r="E6" s="33" t="s">
        <v>10</v>
      </c>
      <c r="F6" s="34" t="s">
        <v>11</v>
      </c>
      <c r="G6" s="34" t="s">
        <v>12</v>
      </c>
      <c r="H6" s="165"/>
      <c r="I6" s="165"/>
      <c r="J6" s="167"/>
      <c r="K6" s="29" t="s">
        <v>13</v>
      </c>
      <c r="L6" s="29" t="s">
        <v>14</v>
      </c>
      <c r="M6" s="29" t="s">
        <v>15</v>
      </c>
      <c r="N6" s="35" t="s">
        <v>27</v>
      </c>
      <c r="O6" s="30" t="s">
        <v>16</v>
      </c>
      <c r="P6" s="30" t="s">
        <v>28</v>
      </c>
      <c r="Q6" s="30" t="s">
        <v>40</v>
      </c>
      <c r="R6" s="30" t="s">
        <v>39</v>
      </c>
      <c r="S6" s="181"/>
      <c r="T6" s="180"/>
      <c r="U6" s="179"/>
      <c r="V6" s="178"/>
      <c r="W6" s="36"/>
      <c r="X6" s="166"/>
      <c r="Y6" s="166"/>
      <c r="Z6" s="177"/>
      <c r="AA6" s="177"/>
      <c r="AB6" s="177"/>
      <c r="AC6" s="177"/>
      <c r="AD6" s="177"/>
      <c r="AF6" s="174"/>
      <c r="AG6" s="168"/>
      <c r="AI6" s="37" t="s">
        <v>26</v>
      </c>
      <c r="AK6" s="149" t="s">
        <v>87</v>
      </c>
      <c r="AL6" s="148">
        <f>'DESCUENTO AFP'!B4</f>
        <v>0</v>
      </c>
      <c r="AM6" s="148">
        <f>'DESCUENTO AFP'!D4</f>
        <v>0</v>
      </c>
      <c r="AN6" s="148">
        <v>0</v>
      </c>
      <c r="AO6" s="162">
        <v>0.1</v>
      </c>
    </row>
    <row r="7" spans="1:41" ht="14.4">
      <c r="A7" s="38"/>
      <c r="B7" s="39"/>
      <c r="C7" s="40"/>
      <c r="D7" s="41"/>
      <c r="E7" s="42"/>
      <c r="F7" s="42"/>
      <c r="G7" s="42"/>
      <c r="H7" s="42"/>
      <c r="I7" s="43"/>
      <c r="J7" s="43"/>
      <c r="K7" s="44"/>
      <c r="L7" s="41"/>
      <c r="M7" s="41"/>
      <c r="N7" s="45"/>
      <c r="O7" s="45"/>
      <c r="P7" s="44"/>
      <c r="Q7" s="44"/>
      <c r="R7" s="41"/>
      <c r="S7" s="46"/>
      <c r="T7" s="47"/>
      <c r="U7" s="48"/>
      <c r="V7" s="49"/>
      <c r="W7" s="51"/>
      <c r="X7" s="38"/>
      <c r="Y7" s="52"/>
      <c r="Z7" s="53"/>
      <c r="AA7" s="54"/>
      <c r="AB7" s="55"/>
      <c r="AC7" s="56"/>
      <c r="AD7" s="57"/>
      <c r="AF7" s="58"/>
      <c r="AG7" s="59"/>
      <c r="AH7" s="60"/>
      <c r="AI7" s="4"/>
      <c r="AK7" s="149" t="s">
        <v>33</v>
      </c>
      <c r="AL7" s="148">
        <f>'DESCUENTO AFP'!B5</f>
        <v>0</v>
      </c>
      <c r="AM7" s="148">
        <f>'DESCUENTO AFP'!D5</f>
        <v>0</v>
      </c>
      <c r="AN7" s="148">
        <v>0</v>
      </c>
      <c r="AO7" s="162">
        <v>0.1</v>
      </c>
    </row>
    <row r="8" spans="1:41" ht="14.4">
      <c r="A8" s="61"/>
      <c r="B8" s="62"/>
      <c r="C8" s="40"/>
      <c r="D8" s="41"/>
      <c r="E8" s="63"/>
      <c r="F8" s="63"/>
      <c r="G8" s="63"/>
      <c r="H8" s="42"/>
      <c r="I8" s="43"/>
      <c r="J8" s="43"/>
      <c r="K8" s="44"/>
      <c r="L8" s="41"/>
      <c r="M8" s="41"/>
      <c r="N8" s="45"/>
      <c r="O8" s="45"/>
      <c r="P8" s="44"/>
      <c r="Q8" s="44"/>
      <c r="R8" s="41"/>
      <c r="S8" s="46"/>
      <c r="T8" s="47"/>
      <c r="U8" s="48"/>
      <c r="V8" s="49"/>
      <c r="W8" s="51"/>
      <c r="X8" s="38"/>
      <c r="Y8" s="52"/>
      <c r="Z8" s="53"/>
      <c r="AA8" s="54"/>
      <c r="AB8" s="55"/>
      <c r="AC8" s="56"/>
      <c r="AD8" s="57"/>
      <c r="AF8" s="58"/>
      <c r="AG8" s="59"/>
      <c r="AH8" s="60"/>
      <c r="AI8" s="4"/>
      <c r="AK8" s="149" t="s">
        <v>88</v>
      </c>
      <c r="AL8" s="148">
        <f>'DESCUENTO AFP'!B6</f>
        <v>0</v>
      </c>
      <c r="AM8" s="148">
        <f>'DESCUENTO AFP'!D6</f>
        <v>0</v>
      </c>
      <c r="AN8" s="148">
        <v>0</v>
      </c>
      <c r="AO8" s="162">
        <v>0.1</v>
      </c>
    </row>
    <row r="9" spans="1:41" ht="14.4">
      <c r="A9" s="38"/>
      <c r="B9" s="62"/>
      <c r="C9" s="40"/>
      <c r="D9" s="41"/>
      <c r="E9" s="63"/>
      <c r="F9" s="63"/>
      <c r="G9" s="63"/>
      <c r="H9" s="42"/>
      <c r="I9" s="43"/>
      <c r="J9" s="43"/>
      <c r="K9" s="44"/>
      <c r="L9" s="41"/>
      <c r="M9" s="41"/>
      <c r="N9" s="45"/>
      <c r="O9" s="45"/>
      <c r="P9" s="44"/>
      <c r="Q9" s="44"/>
      <c r="R9" s="41"/>
      <c r="S9" s="46"/>
      <c r="T9" s="47"/>
      <c r="U9" s="48"/>
      <c r="V9" s="49"/>
      <c r="W9" s="51"/>
      <c r="X9" s="38"/>
      <c r="Y9" s="52"/>
      <c r="Z9" s="53"/>
      <c r="AA9" s="54"/>
      <c r="AB9" s="55"/>
      <c r="AC9" s="56"/>
      <c r="AD9" s="57"/>
      <c r="AF9" s="58"/>
      <c r="AG9" s="59"/>
      <c r="AH9" s="60"/>
      <c r="AI9" s="4"/>
      <c r="AK9" s="149" t="s">
        <v>29</v>
      </c>
      <c r="AL9" s="148">
        <f>'DESCUENTO AFP'!B7</f>
        <v>0</v>
      </c>
      <c r="AM9" s="148">
        <f>'DESCUENTO AFP'!D7</f>
        <v>0</v>
      </c>
      <c r="AN9" s="148">
        <v>0</v>
      </c>
      <c r="AO9" s="162">
        <v>0.1</v>
      </c>
    </row>
    <row r="10" spans="1:41" ht="14.4">
      <c r="A10" s="61"/>
      <c r="B10" s="62"/>
      <c r="C10" s="64"/>
      <c r="D10" s="41"/>
      <c r="E10" s="63"/>
      <c r="F10" s="63"/>
      <c r="G10" s="63"/>
      <c r="H10" s="42"/>
      <c r="I10" s="65"/>
      <c r="J10" s="43"/>
      <c r="K10" s="44"/>
      <c r="L10" s="41"/>
      <c r="M10" s="41"/>
      <c r="N10" s="45"/>
      <c r="O10" s="45"/>
      <c r="P10" s="44"/>
      <c r="Q10" s="44"/>
      <c r="R10" s="41"/>
      <c r="S10" s="46"/>
      <c r="T10" s="47"/>
      <c r="U10" s="48"/>
      <c r="V10" s="49"/>
      <c r="W10" s="51"/>
      <c r="X10" s="38"/>
      <c r="Y10" s="52"/>
      <c r="Z10" s="53"/>
      <c r="AA10" s="54"/>
      <c r="AB10" s="55"/>
      <c r="AC10" s="56"/>
      <c r="AD10" s="57"/>
      <c r="AF10" s="58"/>
      <c r="AG10" s="59"/>
      <c r="AH10" s="60"/>
      <c r="AI10" s="4"/>
      <c r="AK10" s="149" t="s">
        <v>32</v>
      </c>
      <c r="AL10" s="148">
        <v>0</v>
      </c>
      <c r="AM10" s="6"/>
      <c r="AN10" s="6"/>
      <c r="AO10" s="162">
        <v>0.13</v>
      </c>
    </row>
    <row r="11" spans="1:41" ht="14.4">
      <c r="A11" s="38"/>
      <c r="B11" s="62"/>
      <c r="C11" s="66"/>
      <c r="D11" s="41"/>
      <c r="E11" s="63"/>
      <c r="F11" s="63"/>
      <c r="G11" s="63"/>
      <c r="H11" s="42"/>
      <c r="I11" s="67"/>
      <c r="J11" s="43"/>
      <c r="K11" s="44"/>
      <c r="L11" s="41"/>
      <c r="M11" s="41"/>
      <c r="N11" s="45"/>
      <c r="O11" s="45"/>
      <c r="P11" s="44"/>
      <c r="Q11" s="44"/>
      <c r="R11" s="41"/>
      <c r="S11" s="46"/>
      <c r="T11" s="47"/>
      <c r="U11" s="48"/>
      <c r="V11" s="49"/>
      <c r="W11" s="51"/>
      <c r="X11" s="38"/>
      <c r="Y11" s="52"/>
      <c r="Z11" s="53"/>
      <c r="AA11" s="54"/>
      <c r="AB11" s="55"/>
      <c r="AC11" s="56"/>
      <c r="AD11" s="57"/>
      <c r="AF11" s="58"/>
      <c r="AG11" s="59"/>
      <c r="AH11" s="60"/>
      <c r="AI11" s="4"/>
      <c r="AK11" s="149" t="s">
        <v>30</v>
      </c>
      <c r="AL11" s="148">
        <v>0</v>
      </c>
      <c r="AM11" s="147">
        <f>'DESCUENTO AFP'!D4</f>
        <v>0</v>
      </c>
      <c r="AN11" s="148">
        <v>0</v>
      </c>
      <c r="AO11" s="162">
        <v>0.1</v>
      </c>
    </row>
    <row r="12" spans="1:41" ht="14.4">
      <c r="A12" s="61"/>
      <c r="B12" s="68"/>
      <c r="C12" s="69"/>
      <c r="D12" s="41"/>
      <c r="E12" s="63"/>
      <c r="F12" s="63"/>
      <c r="G12" s="63"/>
      <c r="H12" s="42"/>
      <c r="I12" s="70"/>
      <c r="J12" s="43"/>
      <c r="K12" s="44"/>
      <c r="L12" s="41"/>
      <c r="M12" s="41"/>
      <c r="N12" s="45"/>
      <c r="O12" s="45"/>
      <c r="P12" s="44"/>
      <c r="Q12" s="44"/>
      <c r="R12" s="41"/>
      <c r="S12" s="46"/>
      <c r="T12" s="47"/>
      <c r="U12" s="48"/>
      <c r="V12" s="49"/>
      <c r="W12" s="51"/>
      <c r="X12" s="38"/>
      <c r="Y12" s="52"/>
      <c r="Z12" s="53"/>
      <c r="AA12" s="54"/>
      <c r="AB12" s="55"/>
      <c r="AC12" s="56"/>
      <c r="AD12" s="57"/>
      <c r="AF12" s="58"/>
      <c r="AG12" s="59"/>
      <c r="AH12" s="60"/>
      <c r="AI12" s="4"/>
      <c r="AK12" s="149" t="s">
        <v>34</v>
      </c>
      <c r="AL12" s="148">
        <v>0</v>
      </c>
      <c r="AM12" s="147">
        <f>'DESCUENTO AFP'!D5</f>
        <v>0</v>
      </c>
      <c r="AN12" s="148">
        <v>0</v>
      </c>
      <c r="AO12" s="162">
        <v>0.1</v>
      </c>
    </row>
    <row r="13" spans="1:41" ht="14.4">
      <c r="A13" s="38"/>
      <c r="B13" s="68"/>
      <c r="C13" s="71"/>
      <c r="D13" s="41"/>
      <c r="E13" s="63"/>
      <c r="F13" s="63"/>
      <c r="G13" s="63"/>
      <c r="H13" s="42"/>
      <c r="I13" s="72"/>
      <c r="J13" s="43"/>
      <c r="K13" s="44"/>
      <c r="L13" s="41"/>
      <c r="M13" s="41"/>
      <c r="N13" s="45"/>
      <c r="O13" s="45"/>
      <c r="P13" s="44"/>
      <c r="Q13" s="44"/>
      <c r="R13" s="41"/>
      <c r="S13" s="46"/>
      <c r="T13" s="47"/>
      <c r="U13" s="48"/>
      <c r="V13" s="49"/>
      <c r="W13" s="51"/>
      <c r="X13" s="38"/>
      <c r="Y13" s="52"/>
      <c r="Z13" s="53"/>
      <c r="AA13" s="54"/>
      <c r="AB13" s="55"/>
      <c r="AC13" s="56"/>
      <c r="AD13" s="57"/>
      <c r="AF13" s="58"/>
      <c r="AG13" s="59"/>
      <c r="AH13" s="60"/>
      <c r="AI13" s="4"/>
      <c r="AK13" s="149" t="s">
        <v>35</v>
      </c>
      <c r="AL13" s="148">
        <v>0</v>
      </c>
      <c r="AM13" s="147">
        <f>'DESCUENTO AFP'!D6</f>
        <v>0</v>
      </c>
      <c r="AN13" s="148">
        <v>0</v>
      </c>
      <c r="AO13" s="162">
        <v>0.1</v>
      </c>
    </row>
    <row r="14" spans="1:41" ht="14.4">
      <c r="A14" s="61"/>
      <c r="B14" s="62"/>
      <c r="C14" s="40"/>
      <c r="D14" s="41"/>
      <c r="E14" s="42"/>
      <c r="F14" s="63"/>
      <c r="G14" s="63"/>
      <c r="H14" s="42"/>
      <c r="I14" s="43"/>
      <c r="J14" s="43"/>
      <c r="K14" s="44"/>
      <c r="L14" s="41"/>
      <c r="M14" s="41"/>
      <c r="N14" s="45"/>
      <c r="O14" s="45"/>
      <c r="P14" s="44"/>
      <c r="Q14" s="44"/>
      <c r="R14" s="41"/>
      <c r="S14" s="46"/>
      <c r="T14" s="47"/>
      <c r="U14" s="48"/>
      <c r="V14" s="49"/>
      <c r="W14" s="51"/>
      <c r="X14" s="38"/>
      <c r="Y14" s="52"/>
      <c r="Z14" s="53"/>
      <c r="AA14" s="54"/>
      <c r="AB14" s="55"/>
      <c r="AC14" s="56"/>
      <c r="AD14" s="57"/>
      <c r="AF14" s="58"/>
      <c r="AG14" s="59"/>
      <c r="AH14" s="60"/>
      <c r="AI14" s="4"/>
      <c r="AK14" s="149" t="s">
        <v>31</v>
      </c>
      <c r="AL14" s="148">
        <v>0</v>
      </c>
      <c r="AM14" s="147">
        <f>'DESCUENTO AFP'!D7</f>
        <v>0</v>
      </c>
      <c r="AN14" s="148">
        <v>0</v>
      </c>
      <c r="AO14" s="162">
        <v>0.1</v>
      </c>
    </row>
    <row r="15" spans="1:41">
      <c r="A15" s="38"/>
      <c r="B15" s="62"/>
      <c r="C15" s="73"/>
      <c r="D15" s="41"/>
      <c r="E15" s="42"/>
      <c r="F15" s="63"/>
      <c r="G15" s="63"/>
      <c r="H15" s="42"/>
      <c r="I15" s="74"/>
      <c r="J15" s="43"/>
      <c r="K15" s="44"/>
      <c r="L15" s="41"/>
      <c r="M15" s="41"/>
      <c r="N15" s="45"/>
      <c r="O15" s="45"/>
      <c r="P15" s="44"/>
      <c r="Q15" s="44"/>
      <c r="R15" s="41"/>
      <c r="S15" s="46"/>
      <c r="T15" s="47"/>
      <c r="U15" s="48"/>
      <c r="V15" s="49"/>
      <c r="W15" s="51"/>
      <c r="X15" s="38"/>
      <c r="Y15" s="52"/>
      <c r="Z15" s="53"/>
      <c r="AA15" s="54"/>
      <c r="AB15" s="55"/>
      <c r="AC15" s="56"/>
      <c r="AD15" s="57"/>
      <c r="AF15" s="58"/>
      <c r="AG15" s="59"/>
      <c r="AH15" s="60"/>
      <c r="AI15" s="4"/>
    </row>
    <row r="16" spans="1:41">
      <c r="A16" s="61"/>
      <c r="B16" s="62"/>
      <c r="C16" s="71"/>
      <c r="D16" s="41"/>
      <c r="E16" s="63"/>
      <c r="F16" s="63"/>
      <c r="G16" s="63"/>
      <c r="H16" s="42"/>
      <c r="I16" s="72"/>
      <c r="J16" s="43"/>
      <c r="K16" s="44"/>
      <c r="L16" s="41"/>
      <c r="M16" s="41"/>
      <c r="N16" s="45"/>
      <c r="O16" s="45"/>
      <c r="P16" s="44"/>
      <c r="Q16" s="44"/>
      <c r="R16" s="41"/>
      <c r="S16" s="46"/>
      <c r="T16" s="47"/>
      <c r="U16" s="48"/>
      <c r="V16" s="49"/>
      <c r="W16" s="51"/>
      <c r="X16" s="38"/>
      <c r="Y16" s="52"/>
      <c r="Z16" s="53"/>
      <c r="AA16" s="54"/>
      <c r="AB16" s="55"/>
      <c r="AC16" s="56"/>
      <c r="AD16" s="57"/>
      <c r="AF16" s="58"/>
      <c r="AG16" s="59"/>
      <c r="AH16" s="60"/>
      <c r="AI16" s="4"/>
    </row>
    <row r="17" spans="1:35">
      <c r="A17" s="38"/>
      <c r="B17" s="62"/>
      <c r="C17" s="64"/>
      <c r="D17" s="41"/>
      <c r="E17" s="63"/>
      <c r="F17" s="63"/>
      <c r="G17" s="63"/>
      <c r="H17" s="42"/>
      <c r="I17" s="65"/>
      <c r="J17" s="43"/>
      <c r="K17" s="44"/>
      <c r="L17" s="41"/>
      <c r="M17" s="41"/>
      <c r="N17" s="45"/>
      <c r="O17" s="45"/>
      <c r="P17" s="44"/>
      <c r="Q17" s="44"/>
      <c r="R17" s="41"/>
      <c r="S17" s="46"/>
      <c r="T17" s="47"/>
      <c r="U17" s="48"/>
      <c r="V17" s="49"/>
      <c r="W17" s="51"/>
      <c r="X17" s="38"/>
      <c r="Y17" s="52"/>
      <c r="Z17" s="53"/>
      <c r="AA17" s="54"/>
      <c r="AB17" s="55"/>
      <c r="AC17" s="56"/>
      <c r="AD17" s="57"/>
      <c r="AF17" s="58"/>
      <c r="AG17" s="59"/>
      <c r="AH17" s="60"/>
      <c r="AI17" s="4"/>
    </row>
    <row r="18" spans="1:35">
      <c r="A18" s="61"/>
      <c r="B18" s="62"/>
      <c r="C18" s="73"/>
      <c r="D18" s="41"/>
      <c r="E18" s="63"/>
      <c r="F18" s="63"/>
      <c r="G18" s="63"/>
      <c r="H18" s="42"/>
      <c r="I18" s="74"/>
      <c r="J18" s="43"/>
      <c r="K18" s="44"/>
      <c r="L18" s="41"/>
      <c r="M18" s="41"/>
      <c r="N18" s="45"/>
      <c r="O18" s="45"/>
      <c r="P18" s="44"/>
      <c r="Q18" s="44"/>
      <c r="R18" s="41"/>
      <c r="S18" s="46"/>
      <c r="T18" s="47"/>
      <c r="U18" s="48"/>
      <c r="V18" s="49"/>
      <c r="W18" s="51"/>
      <c r="X18" s="38"/>
      <c r="Y18" s="52"/>
      <c r="Z18" s="53"/>
      <c r="AA18" s="54"/>
      <c r="AB18" s="55"/>
      <c r="AC18" s="56"/>
      <c r="AD18" s="57"/>
      <c r="AF18" s="58"/>
      <c r="AG18" s="59"/>
      <c r="AH18" s="60"/>
      <c r="AI18" s="4"/>
    </row>
    <row r="19" spans="1:35">
      <c r="A19" s="38"/>
      <c r="B19" s="62"/>
      <c r="C19" s="66"/>
      <c r="D19" s="41"/>
      <c r="E19" s="63"/>
      <c r="F19" s="63"/>
      <c r="G19" s="63"/>
      <c r="H19" s="42"/>
      <c r="I19" s="67"/>
      <c r="J19" s="43"/>
      <c r="K19" s="44"/>
      <c r="L19" s="41"/>
      <c r="M19" s="41"/>
      <c r="N19" s="45"/>
      <c r="O19" s="45"/>
      <c r="P19" s="44"/>
      <c r="Q19" s="44"/>
      <c r="R19" s="41"/>
      <c r="S19" s="46"/>
      <c r="T19" s="47"/>
      <c r="U19" s="48"/>
      <c r="V19" s="49"/>
      <c r="W19" s="51"/>
      <c r="X19" s="38"/>
      <c r="Y19" s="52"/>
      <c r="Z19" s="53"/>
      <c r="AA19" s="54"/>
      <c r="AB19" s="55"/>
      <c r="AC19" s="56"/>
      <c r="AD19" s="57"/>
      <c r="AF19" s="58"/>
      <c r="AG19" s="59"/>
      <c r="AH19" s="60"/>
      <c r="AI19" s="4"/>
    </row>
    <row r="20" spans="1:35">
      <c r="A20" s="61"/>
      <c r="B20" s="62"/>
      <c r="C20" s="75"/>
      <c r="D20" s="41"/>
      <c r="E20" s="63"/>
      <c r="F20" s="63"/>
      <c r="G20" s="63"/>
      <c r="H20" s="42"/>
      <c r="I20" s="76"/>
      <c r="J20" s="43"/>
      <c r="K20" s="44"/>
      <c r="L20" s="41"/>
      <c r="M20" s="41"/>
      <c r="N20" s="45"/>
      <c r="O20" s="45"/>
      <c r="P20" s="44"/>
      <c r="Q20" s="44"/>
      <c r="R20" s="41"/>
      <c r="S20" s="46"/>
      <c r="T20" s="47"/>
      <c r="U20" s="48"/>
      <c r="V20" s="49"/>
      <c r="W20" s="51"/>
      <c r="X20" s="38"/>
      <c r="Y20" s="52"/>
      <c r="Z20" s="53"/>
      <c r="AA20" s="54"/>
      <c r="AB20" s="55"/>
      <c r="AC20" s="56"/>
      <c r="AD20" s="57"/>
      <c r="AF20" s="58"/>
      <c r="AG20" s="59"/>
      <c r="AH20" s="60"/>
      <c r="AI20" s="4"/>
    </row>
    <row r="21" spans="1:35">
      <c r="A21" s="38"/>
      <c r="B21" s="62"/>
      <c r="C21" s="40"/>
      <c r="D21" s="41"/>
      <c r="E21" s="63"/>
      <c r="F21" s="63"/>
      <c r="G21" s="63"/>
      <c r="H21" s="42"/>
      <c r="I21" s="43"/>
      <c r="J21" s="43"/>
      <c r="K21" s="44"/>
      <c r="L21" s="41"/>
      <c r="M21" s="41"/>
      <c r="N21" s="45"/>
      <c r="O21" s="45"/>
      <c r="P21" s="44"/>
      <c r="Q21" s="44"/>
      <c r="R21" s="41"/>
      <c r="S21" s="46"/>
      <c r="T21" s="47"/>
      <c r="U21" s="48"/>
      <c r="V21" s="49"/>
      <c r="W21" s="51"/>
      <c r="X21" s="38"/>
      <c r="Y21" s="52"/>
      <c r="Z21" s="53"/>
      <c r="AA21" s="54"/>
      <c r="AB21" s="55"/>
      <c r="AC21" s="56"/>
      <c r="AD21" s="57"/>
      <c r="AF21" s="58"/>
      <c r="AG21" s="59"/>
      <c r="AH21" s="60"/>
      <c r="AI21" s="4"/>
    </row>
    <row r="22" spans="1:35">
      <c r="A22" s="61"/>
      <c r="B22" s="77"/>
      <c r="C22" s="73"/>
      <c r="D22" s="41"/>
      <c r="E22" s="63"/>
      <c r="F22" s="63"/>
      <c r="G22" s="63"/>
      <c r="H22" s="42"/>
      <c r="I22" s="74"/>
      <c r="J22" s="43"/>
      <c r="K22" s="44"/>
      <c r="L22" s="41"/>
      <c r="M22" s="41"/>
      <c r="N22" s="45"/>
      <c r="O22" s="45"/>
      <c r="P22" s="44"/>
      <c r="Q22" s="44"/>
      <c r="R22" s="41"/>
      <c r="S22" s="46"/>
      <c r="T22" s="47"/>
      <c r="U22" s="48"/>
      <c r="V22" s="49"/>
      <c r="W22" s="51"/>
      <c r="X22" s="38"/>
      <c r="Y22" s="78"/>
      <c r="Z22" s="53"/>
      <c r="AA22" s="54"/>
      <c r="AB22" s="55"/>
      <c r="AC22" s="56"/>
      <c r="AD22" s="57"/>
      <c r="AF22" s="58"/>
      <c r="AG22" s="59"/>
      <c r="AH22" s="60"/>
      <c r="AI22" s="4"/>
    </row>
    <row r="23" spans="1:35">
      <c r="A23" s="38"/>
      <c r="B23" s="77"/>
      <c r="C23" s="73"/>
      <c r="D23" s="41"/>
      <c r="E23" s="42"/>
      <c r="F23" s="63"/>
      <c r="G23" s="63"/>
      <c r="H23" s="42"/>
      <c r="I23" s="74"/>
      <c r="J23" s="43"/>
      <c r="K23" s="44"/>
      <c r="L23" s="41"/>
      <c r="M23" s="41"/>
      <c r="N23" s="45"/>
      <c r="O23" s="45"/>
      <c r="P23" s="44"/>
      <c r="Q23" s="44"/>
      <c r="R23" s="41"/>
      <c r="S23" s="46"/>
      <c r="T23" s="47"/>
      <c r="U23" s="48"/>
      <c r="V23" s="49"/>
      <c r="W23" s="51"/>
      <c r="X23" s="38"/>
      <c r="Y23" s="78"/>
      <c r="Z23" s="53"/>
      <c r="AA23" s="54"/>
      <c r="AB23" s="55"/>
      <c r="AC23" s="56"/>
      <c r="AD23" s="57"/>
      <c r="AF23" s="58"/>
      <c r="AG23" s="59"/>
      <c r="AH23" s="60"/>
      <c r="AI23" s="4"/>
    </row>
    <row r="24" spans="1:35">
      <c r="A24" s="61"/>
      <c r="B24" s="77"/>
      <c r="C24" s="66"/>
      <c r="D24" s="41"/>
      <c r="E24" s="63"/>
      <c r="F24" s="63"/>
      <c r="G24" s="63"/>
      <c r="H24" s="42"/>
      <c r="I24" s="67"/>
      <c r="J24" s="43"/>
      <c r="K24" s="44"/>
      <c r="L24" s="41"/>
      <c r="M24" s="41"/>
      <c r="N24" s="45"/>
      <c r="O24" s="45"/>
      <c r="P24" s="44"/>
      <c r="Q24" s="44"/>
      <c r="R24" s="41"/>
      <c r="S24" s="46"/>
      <c r="T24" s="47"/>
      <c r="U24" s="48"/>
      <c r="V24" s="49"/>
      <c r="W24" s="51"/>
      <c r="X24" s="38"/>
      <c r="Y24" s="78"/>
      <c r="Z24" s="53"/>
      <c r="AA24" s="54"/>
      <c r="AB24" s="55"/>
      <c r="AC24" s="56"/>
      <c r="AD24" s="57"/>
      <c r="AF24" s="58"/>
      <c r="AG24" s="59"/>
      <c r="AH24" s="60"/>
      <c r="AI24" s="4"/>
    </row>
    <row r="25" spans="1:35">
      <c r="A25" s="38"/>
      <c r="B25" s="79"/>
      <c r="C25" s="40"/>
      <c r="D25" s="41"/>
      <c r="E25" s="63"/>
      <c r="F25" s="63"/>
      <c r="G25" s="63"/>
      <c r="H25" s="42"/>
      <c r="I25" s="43"/>
      <c r="J25" s="43"/>
      <c r="K25" s="44"/>
      <c r="L25" s="41"/>
      <c r="M25" s="41"/>
      <c r="N25" s="45"/>
      <c r="O25" s="45"/>
      <c r="P25" s="44"/>
      <c r="Q25" s="44"/>
      <c r="R25" s="41"/>
      <c r="S25" s="46"/>
      <c r="T25" s="47"/>
      <c r="U25" s="48"/>
      <c r="V25" s="49"/>
      <c r="W25" s="51"/>
      <c r="X25" s="38"/>
      <c r="Y25" s="80"/>
      <c r="Z25" s="53"/>
      <c r="AA25" s="54"/>
      <c r="AB25" s="55"/>
      <c r="AC25" s="56"/>
      <c r="AD25" s="57"/>
      <c r="AF25" s="58"/>
      <c r="AG25" s="59"/>
      <c r="AH25" s="60"/>
      <c r="AI25" s="4"/>
    </row>
    <row r="26" spans="1:35">
      <c r="A26" s="61"/>
      <c r="B26" s="79"/>
      <c r="C26" s="40"/>
      <c r="D26" s="41"/>
      <c r="E26" s="63"/>
      <c r="F26" s="63"/>
      <c r="G26" s="63"/>
      <c r="H26" s="42"/>
      <c r="I26" s="43"/>
      <c r="J26" s="43"/>
      <c r="K26" s="44"/>
      <c r="L26" s="41"/>
      <c r="M26" s="41"/>
      <c r="N26" s="45"/>
      <c r="O26" s="45"/>
      <c r="P26" s="44"/>
      <c r="Q26" s="44"/>
      <c r="R26" s="41"/>
      <c r="S26" s="46"/>
      <c r="T26" s="47"/>
      <c r="U26" s="48"/>
      <c r="V26" s="49"/>
      <c r="W26" s="51"/>
      <c r="X26" s="38"/>
      <c r="Y26" s="80"/>
      <c r="Z26" s="53"/>
      <c r="AA26" s="54"/>
      <c r="AB26" s="55"/>
      <c r="AC26" s="56"/>
      <c r="AD26" s="57"/>
      <c r="AF26" s="58"/>
      <c r="AG26" s="59"/>
      <c r="AH26" s="60"/>
      <c r="AI26" s="4"/>
    </row>
    <row r="27" spans="1:35">
      <c r="A27" s="38"/>
      <c r="B27" s="79"/>
      <c r="C27" s="40"/>
      <c r="D27" s="41"/>
      <c r="E27" s="63"/>
      <c r="F27" s="63"/>
      <c r="G27" s="63"/>
      <c r="H27" s="42"/>
      <c r="I27" s="43"/>
      <c r="J27" s="43"/>
      <c r="K27" s="44"/>
      <c r="L27" s="41"/>
      <c r="M27" s="41"/>
      <c r="N27" s="45"/>
      <c r="O27" s="45"/>
      <c r="P27" s="44"/>
      <c r="Q27" s="44"/>
      <c r="R27" s="41"/>
      <c r="S27" s="46"/>
      <c r="T27" s="47"/>
      <c r="U27" s="48"/>
      <c r="V27" s="49"/>
      <c r="W27" s="51"/>
      <c r="X27" s="38"/>
      <c r="Y27" s="52"/>
      <c r="Z27" s="53"/>
      <c r="AA27" s="54"/>
      <c r="AB27" s="55"/>
      <c r="AC27" s="56"/>
      <c r="AD27" s="57"/>
      <c r="AF27" s="58"/>
      <c r="AG27" s="59"/>
      <c r="AH27" s="81"/>
      <c r="AI27" s="4"/>
    </row>
    <row r="28" spans="1:35">
      <c r="A28" s="61"/>
      <c r="B28" s="79"/>
      <c r="C28" s="40"/>
      <c r="D28" s="41"/>
      <c r="E28" s="63"/>
      <c r="F28" s="63"/>
      <c r="G28" s="63"/>
      <c r="H28" s="42"/>
      <c r="I28" s="43"/>
      <c r="J28" s="43"/>
      <c r="K28" s="44"/>
      <c r="L28" s="41"/>
      <c r="M28" s="41"/>
      <c r="N28" s="45"/>
      <c r="O28" s="45"/>
      <c r="P28" s="44"/>
      <c r="Q28" s="44"/>
      <c r="R28" s="41"/>
      <c r="S28" s="46"/>
      <c r="T28" s="47"/>
      <c r="U28" s="48"/>
      <c r="V28" s="49"/>
      <c r="W28" s="51"/>
      <c r="X28" s="38"/>
      <c r="Y28" s="52"/>
      <c r="Z28" s="53"/>
      <c r="AA28" s="54"/>
      <c r="AB28" s="55"/>
      <c r="AC28" s="56"/>
      <c r="AD28" s="57"/>
      <c r="AF28" s="58"/>
      <c r="AG28" s="59"/>
      <c r="AH28" s="81"/>
      <c r="AI28" s="4"/>
    </row>
    <row r="29" spans="1:35">
      <c r="A29" s="38"/>
      <c r="B29" s="79"/>
      <c r="C29" s="71"/>
      <c r="D29" s="41"/>
      <c r="E29" s="42"/>
      <c r="F29" s="63"/>
      <c r="G29" s="63"/>
      <c r="H29" s="42"/>
      <c r="I29" s="72"/>
      <c r="J29" s="43"/>
      <c r="K29" s="44"/>
      <c r="L29" s="41"/>
      <c r="M29" s="41"/>
      <c r="N29" s="45"/>
      <c r="O29" s="45"/>
      <c r="P29" s="44"/>
      <c r="Q29" s="44"/>
      <c r="R29" s="41"/>
      <c r="S29" s="46"/>
      <c r="T29" s="47"/>
      <c r="U29" s="48"/>
      <c r="V29" s="49"/>
      <c r="W29" s="51"/>
      <c r="X29" s="38"/>
      <c r="Y29" s="52"/>
      <c r="Z29" s="53"/>
      <c r="AA29" s="54"/>
      <c r="AB29" s="55"/>
      <c r="AC29" s="56"/>
      <c r="AD29" s="57"/>
      <c r="AF29" s="58"/>
      <c r="AG29" s="59"/>
      <c r="AH29" s="81"/>
      <c r="AI29" s="4"/>
    </row>
    <row r="30" spans="1:35">
      <c r="A30" s="61"/>
      <c r="B30" s="79"/>
      <c r="C30" s="40"/>
      <c r="D30" s="41"/>
      <c r="E30" s="63"/>
      <c r="F30" s="63"/>
      <c r="G30" s="63"/>
      <c r="H30" s="42"/>
      <c r="I30" s="43"/>
      <c r="J30" s="43"/>
      <c r="K30" s="44"/>
      <c r="L30" s="41"/>
      <c r="M30" s="41"/>
      <c r="N30" s="45"/>
      <c r="O30" s="45"/>
      <c r="P30" s="44"/>
      <c r="Q30" s="44"/>
      <c r="R30" s="41"/>
      <c r="S30" s="46"/>
      <c r="T30" s="47"/>
      <c r="U30" s="48"/>
      <c r="V30" s="49"/>
      <c r="W30" s="51"/>
      <c r="X30" s="38"/>
      <c r="Y30" s="52"/>
      <c r="Z30" s="53"/>
      <c r="AA30" s="54"/>
      <c r="AB30" s="55"/>
      <c r="AC30" s="56"/>
      <c r="AD30" s="57"/>
      <c r="AF30" s="58"/>
      <c r="AG30" s="59"/>
      <c r="AH30" s="81"/>
      <c r="AI30" s="4"/>
    </row>
    <row r="31" spans="1:35">
      <c r="A31" s="38"/>
      <c r="B31" s="52"/>
      <c r="C31" s="69"/>
      <c r="D31" s="41"/>
      <c r="E31" s="42"/>
      <c r="F31" s="42"/>
      <c r="G31" s="42"/>
      <c r="H31" s="42"/>
      <c r="I31" s="70"/>
      <c r="J31" s="43"/>
      <c r="K31" s="44"/>
      <c r="L31" s="41"/>
      <c r="M31" s="41"/>
      <c r="N31" s="45"/>
      <c r="O31" s="45"/>
      <c r="P31" s="44"/>
      <c r="Q31" s="44"/>
      <c r="R31" s="41"/>
      <c r="S31" s="46"/>
      <c r="T31" s="47"/>
      <c r="U31" s="48"/>
      <c r="V31" s="49"/>
      <c r="W31" s="51"/>
      <c r="X31" s="38"/>
      <c r="Y31" s="52"/>
      <c r="Z31" s="53"/>
      <c r="AA31" s="54"/>
      <c r="AB31" s="55"/>
      <c r="AC31" s="56"/>
      <c r="AD31" s="57"/>
      <c r="AF31" s="58"/>
      <c r="AG31" s="59"/>
      <c r="AH31" s="81"/>
      <c r="AI31" s="4"/>
    </row>
    <row r="32" spans="1:35">
      <c r="A32" s="61"/>
      <c r="B32" s="79"/>
      <c r="C32" s="66"/>
      <c r="D32" s="41"/>
      <c r="E32" s="63"/>
      <c r="F32" s="63"/>
      <c r="G32" s="63"/>
      <c r="H32" s="42"/>
      <c r="I32" s="67"/>
      <c r="J32" s="43"/>
      <c r="K32" s="44"/>
      <c r="L32" s="41"/>
      <c r="M32" s="41"/>
      <c r="N32" s="45"/>
      <c r="O32" s="45"/>
      <c r="P32" s="44"/>
      <c r="Q32" s="44"/>
      <c r="R32" s="41"/>
      <c r="S32" s="46"/>
      <c r="T32" s="47"/>
      <c r="U32" s="48"/>
      <c r="V32" s="49"/>
      <c r="W32" s="51"/>
      <c r="X32" s="38"/>
      <c r="Y32" s="52"/>
      <c r="Z32" s="53"/>
      <c r="AA32" s="54"/>
      <c r="AB32" s="55"/>
      <c r="AC32" s="56"/>
      <c r="AD32" s="57"/>
      <c r="AF32" s="58"/>
      <c r="AG32" s="59"/>
      <c r="AH32" s="81"/>
      <c r="AI32" s="4"/>
    </row>
    <row r="33" spans="1:35">
      <c r="A33" s="38"/>
      <c r="B33" s="79"/>
      <c r="C33" s="75"/>
      <c r="D33" s="41"/>
      <c r="E33" s="63"/>
      <c r="F33" s="63"/>
      <c r="G33" s="63"/>
      <c r="H33" s="42"/>
      <c r="I33" s="76"/>
      <c r="J33" s="43"/>
      <c r="K33" s="44"/>
      <c r="L33" s="41"/>
      <c r="M33" s="41"/>
      <c r="N33" s="45"/>
      <c r="O33" s="45"/>
      <c r="P33" s="44"/>
      <c r="Q33" s="44"/>
      <c r="R33" s="41"/>
      <c r="S33" s="46"/>
      <c r="T33" s="47"/>
      <c r="U33" s="48"/>
      <c r="V33" s="49"/>
      <c r="W33" s="51"/>
      <c r="X33" s="38"/>
      <c r="Y33" s="52"/>
      <c r="Z33" s="53"/>
      <c r="AA33" s="54"/>
      <c r="AB33" s="55"/>
      <c r="AC33" s="56"/>
      <c r="AD33" s="57"/>
      <c r="AF33" s="58"/>
      <c r="AG33" s="59"/>
      <c r="AH33" s="81"/>
      <c r="AI33" s="4"/>
    </row>
    <row r="34" spans="1:35">
      <c r="A34" s="61"/>
      <c r="B34" s="79"/>
      <c r="C34" s="40"/>
      <c r="D34" s="41"/>
      <c r="E34" s="63"/>
      <c r="F34" s="63"/>
      <c r="G34" s="63"/>
      <c r="H34" s="42"/>
      <c r="I34" s="43"/>
      <c r="J34" s="43"/>
      <c r="K34" s="44"/>
      <c r="L34" s="41"/>
      <c r="M34" s="41"/>
      <c r="N34" s="45"/>
      <c r="O34" s="45"/>
      <c r="P34" s="44"/>
      <c r="Q34" s="44"/>
      <c r="R34" s="41"/>
      <c r="S34" s="46"/>
      <c r="T34" s="47"/>
      <c r="U34" s="48"/>
      <c r="V34" s="49"/>
      <c r="W34" s="51"/>
      <c r="X34" s="38"/>
      <c r="Y34" s="52"/>
      <c r="Z34" s="53"/>
      <c r="AA34" s="54"/>
      <c r="AB34" s="55"/>
      <c r="AC34" s="56"/>
      <c r="AD34" s="57"/>
      <c r="AF34" s="58"/>
      <c r="AG34" s="59"/>
      <c r="AH34" s="81"/>
      <c r="AI34" s="4"/>
    </row>
    <row r="35" spans="1:35">
      <c r="A35" s="38"/>
      <c r="B35" s="82"/>
      <c r="C35" s="83"/>
      <c r="D35" s="41"/>
      <c r="E35" s="63"/>
      <c r="F35" s="63"/>
      <c r="G35" s="63"/>
      <c r="H35" s="42"/>
      <c r="I35" s="43"/>
      <c r="J35" s="43"/>
      <c r="K35" s="44"/>
      <c r="L35" s="41"/>
      <c r="M35" s="41"/>
      <c r="N35" s="45"/>
      <c r="O35" s="45"/>
      <c r="P35" s="44"/>
      <c r="Q35" s="44"/>
      <c r="R35" s="41"/>
      <c r="S35" s="46"/>
      <c r="T35" s="47"/>
      <c r="U35" s="48"/>
      <c r="V35" s="49"/>
      <c r="W35" s="51"/>
      <c r="X35" s="38"/>
      <c r="Y35" s="52"/>
      <c r="Z35" s="53"/>
      <c r="AA35" s="54"/>
      <c r="AB35" s="55"/>
      <c r="AC35" s="56"/>
      <c r="AD35" s="57"/>
      <c r="AF35" s="58"/>
      <c r="AG35" s="59"/>
      <c r="AH35" s="81"/>
      <c r="AI35" s="4"/>
    </row>
    <row r="36" spans="1:35">
      <c r="A36" s="61"/>
      <c r="B36" s="82"/>
      <c r="C36" s="84"/>
      <c r="D36" s="41"/>
      <c r="E36" s="63"/>
      <c r="F36" s="63"/>
      <c r="G36" s="63"/>
      <c r="H36" s="42"/>
      <c r="I36" s="43"/>
      <c r="J36" s="43"/>
      <c r="K36" s="44"/>
      <c r="L36" s="41"/>
      <c r="M36" s="41"/>
      <c r="N36" s="45"/>
      <c r="O36" s="45"/>
      <c r="P36" s="44"/>
      <c r="Q36" s="44"/>
      <c r="R36" s="41"/>
      <c r="S36" s="46"/>
      <c r="T36" s="47"/>
      <c r="U36" s="48"/>
      <c r="V36" s="49"/>
      <c r="W36" s="51"/>
      <c r="X36" s="38"/>
      <c r="Y36" s="52"/>
      <c r="Z36" s="53"/>
      <c r="AA36" s="54"/>
      <c r="AB36" s="55"/>
      <c r="AC36" s="56"/>
      <c r="AD36" s="57"/>
      <c r="AF36" s="58"/>
      <c r="AG36" s="59"/>
      <c r="AH36" s="81"/>
      <c r="AI36" s="4"/>
    </row>
    <row r="37" spans="1:35">
      <c r="A37" s="38"/>
      <c r="B37" s="79"/>
      <c r="C37" s="69"/>
      <c r="D37" s="41"/>
      <c r="E37" s="63"/>
      <c r="F37" s="63"/>
      <c r="G37" s="63"/>
      <c r="H37" s="42"/>
      <c r="I37" s="70"/>
      <c r="J37" s="43"/>
      <c r="K37" s="44"/>
      <c r="L37" s="41"/>
      <c r="M37" s="41"/>
      <c r="N37" s="45"/>
      <c r="O37" s="45"/>
      <c r="P37" s="44"/>
      <c r="Q37" s="44"/>
      <c r="R37" s="41"/>
      <c r="S37" s="46"/>
      <c r="T37" s="47"/>
      <c r="U37" s="48"/>
      <c r="V37" s="49"/>
      <c r="W37" s="51"/>
      <c r="X37" s="38"/>
      <c r="Y37" s="85"/>
      <c r="Z37" s="53"/>
      <c r="AA37" s="54"/>
      <c r="AB37" s="55"/>
      <c r="AC37" s="56"/>
      <c r="AD37" s="57"/>
      <c r="AF37" s="58"/>
      <c r="AG37" s="59"/>
      <c r="AH37" s="81"/>
      <c r="AI37" s="4"/>
    </row>
    <row r="38" spans="1:35">
      <c r="A38" s="61"/>
      <c r="B38" s="79"/>
      <c r="C38" s="69"/>
      <c r="D38" s="41"/>
      <c r="E38" s="63"/>
      <c r="F38" s="63"/>
      <c r="G38" s="63"/>
      <c r="H38" s="42"/>
      <c r="I38" s="70"/>
      <c r="J38" s="43"/>
      <c r="K38" s="44"/>
      <c r="L38" s="41"/>
      <c r="M38" s="41"/>
      <c r="N38" s="45"/>
      <c r="O38" s="45"/>
      <c r="P38" s="44"/>
      <c r="Q38" s="44"/>
      <c r="R38" s="41"/>
      <c r="S38" s="46"/>
      <c r="T38" s="47"/>
      <c r="U38" s="48"/>
      <c r="V38" s="49"/>
      <c r="W38" s="51"/>
      <c r="X38" s="38"/>
      <c r="Y38" s="52"/>
      <c r="Z38" s="53"/>
      <c r="AA38" s="54"/>
      <c r="AB38" s="55"/>
      <c r="AC38" s="56"/>
      <c r="AD38" s="57"/>
      <c r="AF38" s="58"/>
      <c r="AG38" s="59"/>
      <c r="AH38" s="81"/>
      <c r="AI38" s="4"/>
    </row>
    <row r="39" spans="1:35">
      <c r="A39" s="38"/>
      <c r="B39" s="79"/>
      <c r="C39" s="40"/>
      <c r="D39" s="41"/>
      <c r="E39" s="63"/>
      <c r="F39" s="63"/>
      <c r="G39" s="63"/>
      <c r="H39" s="42"/>
      <c r="I39" s="43"/>
      <c r="J39" s="43"/>
      <c r="K39" s="44"/>
      <c r="L39" s="41"/>
      <c r="M39" s="41"/>
      <c r="N39" s="45"/>
      <c r="O39" s="45"/>
      <c r="P39" s="44"/>
      <c r="Q39" s="44"/>
      <c r="R39" s="41"/>
      <c r="S39" s="46"/>
      <c r="T39" s="47"/>
      <c r="U39" s="48"/>
      <c r="V39" s="49"/>
      <c r="W39" s="51"/>
      <c r="X39" s="38"/>
      <c r="Y39" s="52"/>
      <c r="Z39" s="53"/>
      <c r="AA39" s="54"/>
      <c r="AB39" s="55"/>
      <c r="AC39" s="56"/>
      <c r="AD39" s="57"/>
      <c r="AF39" s="58"/>
      <c r="AG39" s="59"/>
      <c r="AH39" s="81"/>
      <c r="AI39" s="4"/>
    </row>
    <row r="40" spans="1:35">
      <c r="A40" s="61"/>
      <c r="B40" s="79"/>
      <c r="C40" s="66"/>
      <c r="D40" s="41"/>
      <c r="E40" s="63"/>
      <c r="F40" s="63"/>
      <c r="G40" s="63"/>
      <c r="H40" s="42"/>
      <c r="I40" s="67"/>
      <c r="J40" s="43"/>
      <c r="K40" s="44"/>
      <c r="L40" s="41"/>
      <c r="M40" s="41"/>
      <c r="N40" s="45"/>
      <c r="O40" s="45"/>
      <c r="P40" s="44"/>
      <c r="Q40" s="44"/>
      <c r="R40" s="41"/>
      <c r="S40" s="46"/>
      <c r="T40" s="47"/>
      <c r="U40" s="48"/>
      <c r="V40" s="49"/>
      <c r="W40" s="51"/>
      <c r="X40" s="38"/>
      <c r="Y40" s="85"/>
      <c r="Z40" s="53"/>
      <c r="AA40" s="54"/>
      <c r="AB40" s="55"/>
      <c r="AC40" s="56"/>
      <c r="AD40" s="57"/>
      <c r="AF40" s="58"/>
      <c r="AG40" s="59"/>
      <c r="AH40" s="81"/>
      <c r="AI40" s="4"/>
    </row>
    <row r="41" spans="1:35">
      <c r="A41" s="38"/>
      <c r="B41" s="79"/>
      <c r="C41" s="40"/>
      <c r="D41" s="41"/>
      <c r="E41" s="63"/>
      <c r="F41" s="63"/>
      <c r="G41" s="63"/>
      <c r="H41" s="42"/>
      <c r="I41" s="43"/>
      <c r="J41" s="43"/>
      <c r="K41" s="44"/>
      <c r="L41" s="41"/>
      <c r="M41" s="41"/>
      <c r="N41" s="45"/>
      <c r="O41" s="45"/>
      <c r="P41" s="44"/>
      <c r="Q41" s="44"/>
      <c r="R41" s="41"/>
      <c r="S41" s="46"/>
      <c r="T41" s="47"/>
      <c r="U41" s="48"/>
      <c r="V41" s="49"/>
      <c r="W41" s="51"/>
      <c r="X41" s="38"/>
      <c r="Y41" s="80"/>
      <c r="Z41" s="53"/>
      <c r="AA41" s="54"/>
      <c r="AB41" s="55"/>
      <c r="AC41" s="56"/>
      <c r="AD41" s="57"/>
      <c r="AF41" s="58"/>
      <c r="AG41" s="59"/>
      <c r="AH41" s="81"/>
      <c r="AI41" s="4"/>
    </row>
    <row r="42" spans="1:35">
      <c r="A42" s="61"/>
      <c r="B42" s="79"/>
      <c r="C42" s="73"/>
      <c r="D42" s="41"/>
      <c r="E42" s="63"/>
      <c r="F42" s="63"/>
      <c r="G42" s="63"/>
      <c r="H42" s="42"/>
      <c r="I42" s="74"/>
      <c r="J42" s="43"/>
      <c r="K42" s="44"/>
      <c r="L42" s="41"/>
      <c r="M42" s="41"/>
      <c r="N42" s="45"/>
      <c r="O42" s="45"/>
      <c r="P42" s="44"/>
      <c r="Q42" s="44"/>
      <c r="R42" s="41"/>
      <c r="S42" s="46"/>
      <c r="T42" s="47"/>
      <c r="U42" s="48"/>
      <c r="V42" s="49"/>
      <c r="W42" s="51"/>
      <c r="X42" s="38"/>
      <c r="Y42" s="85"/>
      <c r="Z42" s="53"/>
      <c r="AA42" s="54"/>
      <c r="AB42" s="55"/>
      <c r="AC42" s="56"/>
      <c r="AD42" s="57"/>
      <c r="AF42" s="58"/>
      <c r="AG42" s="59"/>
      <c r="AH42" s="81"/>
      <c r="AI42" s="4"/>
    </row>
    <row r="43" spans="1:35">
      <c r="A43" s="38"/>
      <c r="B43" s="79"/>
      <c r="C43" s="75"/>
      <c r="D43" s="41"/>
      <c r="E43" s="63"/>
      <c r="F43" s="63"/>
      <c r="G43" s="63"/>
      <c r="H43" s="42"/>
      <c r="I43" s="76"/>
      <c r="J43" s="43"/>
      <c r="K43" s="44"/>
      <c r="L43" s="41"/>
      <c r="M43" s="41"/>
      <c r="N43" s="45"/>
      <c r="O43" s="45"/>
      <c r="P43" s="44"/>
      <c r="Q43" s="44"/>
      <c r="R43" s="41"/>
      <c r="S43" s="46"/>
      <c r="T43" s="47"/>
      <c r="U43" s="48"/>
      <c r="V43" s="49"/>
      <c r="W43" s="51"/>
      <c r="X43" s="38"/>
      <c r="Y43" s="86"/>
      <c r="Z43" s="53"/>
      <c r="AA43" s="54"/>
      <c r="AB43" s="55"/>
      <c r="AC43" s="56"/>
      <c r="AD43" s="57"/>
      <c r="AF43" s="58"/>
      <c r="AG43" s="59"/>
      <c r="AH43" s="81"/>
      <c r="AI43" s="4"/>
    </row>
    <row r="44" spans="1:35">
      <c r="A44" s="61"/>
      <c r="B44" s="79"/>
      <c r="C44" s="40"/>
      <c r="D44" s="41"/>
      <c r="E44" s="87"/>
      <c r="F44" s="87"/>
      <c r="G44" s="87"/>
      <c r="H44" s="42"/>
      <c r="I44" s="43"/>
      <c r="J44" s="43"/>
      <c r="K44" s="44"/>
      <c r="L44" s="41"/>
      <c r="M44" s="41"/>
      <c r="N44" s="45"/>
      <c r="O44" s="45"/>
      <c r="P44" s="44"/>
      <c r="Q44" s="44"/>
      <c r="R44" s="41"/>
      <c r="S44" s="46"/>
      <c r="T44" s="47"/>
      <c r="U44" s="48"/>
      <c r="V44" s="49"/>
      <c r="W44" s="51"/>
      <c r="X44" s="38"/>
      <c r="Y44" s="52"/>
      <c r="Z44" s="53"/>
      <c r="AA44" s="54"/>
      <c r="AB44" s="55"/>
      <c r="AC44" s="56"/>
      <c r="AD44" s="57"/>
      <c r="AF44" s="58"/>
      <c r="AG44" s="59"/>
      <c r="AH44" s="81"/>
      <c r="AI44" s="4"/>
    </row>
    <row r="45" spans="1:35">
      <c r="A45" s="38"/>
      <c r="B45" s="79"/>
      <c r="C45" s="40"/>
      <c r="D45" s="41"/>
      <c r="E45" s="87"/>
      <c r="F45" s="87"/>
      <c r="G45" s="87"/>
      <c r="H45" s="42"/>
      <c r="I45" s="70"/>
      <c r="J45" s="43"/>
      <c r="K45" s="44"/>
      <c r="L45" s="41"/>
      <c r="M45" s="41"/>
      <c r="N45" s="45"/>
      <c r="O45" s="45"/>
      <c r="P45" s="44"/>
      <c r="Q45" s="44"/>
      <c r="R45" s="41"/>
      <c r="S45" s="46"/>
      <c r="T45" s="47"/>
      <c r="U45" s="48"/>
      <c r="V45" s="49"/>
      <c r="W45" s="51"/>
      <c r="X45" s="38"/>
      <c r="Y45" s="52"/>
      <c r="Z45" s="53"/>
      <c r="AA45" s="54"/>
      <c r="AB45" s="55"/>
      <c r="AC45" s="56"/>
      <c r="AD45" s="57"/>
      <c r="AF45" s="58"/>
      <c r="AG45" s="59"/>
      <c r="AH45" s="81"/>
      <c r="AI45" s="4"/>
    </row>
    <row r="46" spans="1:35">
      <c r="A46" s="61"/>
      <c r="B46" s="79"/>
      <c r="C46" s="71"/>
      <c r="D46" s="41"/>
      <c r="E46" s="87"/>
      <c r="F46" s="63"/>
      <c r="G46" s="63"/>
      <c r="H46" s="42"/>
      <c r="I46" s="72"/>
      <c r="J46" s="43"/>
      <c r="K46" s="44"/>
      <c r="L46" s="41"/>
      <c r="M46" s="41"/>
      <c r="N46" s="45"/>
      <c r="O46" s="45"/>
      <c r="P46" s="44"/>
      <c r="Q46" s="44"/>
      <c r="R46" s="41"/>
      <c r="S46" s="46"/>
      <c r="T46" s="47"/>
      <c r="U46" s="48"/>
      <c r="V46" s="49"/>
      <c r="W46" s="51"/>
      <c r="X46" s="38"/>
      <c r="Y46" s="85"/>
      <c r="Z46" s="53"/>
      <c r="AA46" s="54"/>
      <c r="AB46" s="55"/>
      <c r="AC46" s="56"/>
      <c r="AD46" s="57"/>
      <c r="AF46" s="58"/>
      <c r="AG46" s="59"/>
      <c r="AH46" s="60"/>
      <c r="AI46" s="4"/>
    </row>
    <row r="47" spans="1:35">
      <c r="A47" s="38"/>
      <c r="B47" s="88"/>
      <c r="C47" s="40"/>
      <c r="D47" s="41"/>
      <c r="E47" s="87"/>
      <c r="F47" s="63"/>
      <c r="G47" s="63"/>
      <c r="H47" s="42"/>
      <c r="I47" s="70"/>
      <c r="J47" s="43"/>
      <c r="K47" s="44"/>
      <c r="L47" s="41"/>
      <c r="M47" s="41"/>
      <c r="N47" s="45"/>
      <c r="O47" s="45"/>
      <c r="P47" s="44"/>
      <c r="Q47" s="44"/>
      <c r="R47" s="41"/>
      <c r="S47" s="46"/>
      <c r="T47" s="47"/>
      <c r="U47" s="48"/>
      <c r="V47" s="49"/>
      <c r="W47" s="51"/>
      <c r="X47" s="38"/>
      <c r="Y47" s="52"/>
      <c r="Z47" s="53"/>
      <c r="AA47" s="54"/>
      <c r="AB47" s="55"/>
      <c r="AC47" s="56"/>
      <c r="AD47" s="57"/>
      <c r="AF47" s="58"/>
      <c r="AG47" s="59"/>
      <c r="AH47" s="81"/>
      <c r="AI47" s="4"/>
    </row>
    <row r="48" spans="1:35">
      <c r="A48" s="61"/>
      <c r="B48" s="88"/>
      <c r="C48" s="69"/>
      <c r="D48" s="41"/>
      <c r="E48" s="87"/>
      <c r="F48" s="63"/>
      <c r="G48" s="63"/>
      <c r="H48" s="42"/>
      <c r="I48" s="70"/>
      <c r="J48" s="43"/>
      <c r="K48" s="44"/>
      <c r="L48" s="41"/>
      <c r="M48" s="41"/>
      <c r="N48" s="45"/>
      <c r="O48" s="45"/>
      <c r="P48" s="44"/>
      <c r="Q48" s="44"/>
      <c r="R48" s="41"/>
      <c r="S48" s="46"/>
      <c r="T48" s="47"/>
      <c r="U48" s="48"/>
      <c r="V48" s="49"/>
      <c r="W48" s="51"/>
      <c r="X48" s="38"/>
      <c r="Y48" s="52"/>
      <c r="Z48" s="53"/>
      <c r="AA48" s="54"/>
      <c r="AB48" s="55"/>
      <c r="AC48" s="56"/>
      <c r="AD48" s="57"/>
      <c r="AF48" s="58"/>
      <c r="AG48" s="59"/>
      <c r="AH48" s="81"/>
      <c r="AI48" s="4"/>
    </row>
    <row r="49" spans="1:35">
      <c r="A49" s="38"/>
      <c r="B49" s="88"/>
      <c r="C49" s="73"/>
      <c r="D49" s="41"/>
      <c r="E49" s="63"/>
      <c r="F49" s="63"/>
      <c r="G49" s="63"/>
      <c r="H49" s="42"/>
      <c r="I49" s="74"/>
      <c r="J49" s="43"/>
      <c r="K49" s="44"/>
      <c r="L49" s="41"/>
      <c r="M49" s="41"/>
      <c r="N49" s="45"/>
      <c r="O49" s="45"/>
      <c r="P49" s="44"/>
      <c r="Q49" s="44"/>
      <c r="R49" s="41"/>
      <c r="S49" s="46"/>
      <c r="T49" s="47"/>
      <c r="U49" s="48"/>
      <c r="V49" s="49"/>
      <c r="W49" s="51"/>
      <c r="X49" s="38"/>
      <c r="Y49" s="52"/>
      <c r="Z49" s="53"/>
      <c r="AA49" s="54"/>
      <c r="AB49" s="55"/>
      <c r="AC49" s="56"/>
      <c r="AD49" s="57"/>
      <c r="AF49" s="58"/>
      <c r="AG49" s="59"/>
      <c r="AH49" s="81"/>
      <c r="AI49" s="4"/>
    </row>
    <row r="50" spans="1:35">
      <c r="A50" s="61"/>
      <c r="B50" s="79"/>
      <c r="C50" s="40"/>
      <c r="D50" s="41"/>
      <c r="E50" s="87"/>
      <c r="F50" s="63"/>
      <c r="G50" s="63"/>
      <c r="H50" s="42"/>
      <c r="I50" s="43"/>
      <c r="J50" s="43"/>
      <c r="K50" s="44"/>
      <c r="L50" s="41"/>
      <c r="M50" s="41"/>
      <c r="N50" s="45"/>
      <c r="O50" s="45"/>
      <c r="P50" s="44"/>
      <c r="Q50" s="44"/>
      <c r="R50" s="41"/>
      <c r="S50" s="46"/>
      <c r="T50" s="47"/>
      <c r="U50" s="48"/>
      <c r="V50" s="49"/>
      <c r="W50" s="51"/>
      <c r="X50" s="38"/>
      <c r="Y50" s="80"/>
      <c r="Z50" s="53"/>
      <c r="AA50" s="54"/>
      <c r="AB50" s="55"/>
      <c r="AC50" s="56"/>
      <c r="AD50" s="57"/>
      <c r="AF50" s="58"/>
      <c r="AG50" s="59"/>
      <c r="AH50" s="81"/>
      <c r="AI50" s="4"/>
    </row>
    <row r="51" spans="1:35">
      <c r="A51" s="38"/>
      <c r="B51" s="89"/>
      <c r="C51" s="73"/>
      <c r="D51" s="41"/>
      <c r="E51" s="87"/>
      <c r="F51" s="63"/>
      <c r="G51" s="63"/>
      <c r="H51" s="42"/>
      <c r="I51" s="74"/>
      <c r="J51" s="43"/>
      <c r="K51" s="44"/>
      <c r="L51" s="41"/>
      <c r="M51" s="41"/>
      <c r="N51" s="45"/>
      <c r="O51" s="45"/>
      <c r="P51" s="44"/>
      <c r="Q51" s="44"/>
      <c r="R51" s="41"/>
      <c r="S51" s="46"/>
      <c r="T51" s="47"/>
      <c r="U51" s="48"/>
      <c r="V51" s="49"/>
      <c r="W51" s="51"/>
      <c r="X51" s="38"/>
      <c r="Y51" s="90"/>
      <c r="Z51" s="53"/>
      <c r="AA51" s="54"/>
      <c r="AB51" s="55"/>
      <c r="AC51" s="56"/>
      <c r="AD51" s="57"/>
      <c r="AF51" s="58"/>
      <c r="AG51" s="59"/>
      <c r="AH51" s="60"/>
      <c r="AI51" s="4"/>
    </row>
    <row r="52" spans="1:35">
      <c r="A52" s="61"/>
      <c r="B52" s="79"/>
      <c r="C52" s="73"/>
      <c r="D52" s="41"/>
      <c r="E52" s="87"/>
      <c r="F52" s="63"/>
      <c r="G52" s="91"/>
      <c r="H52" s="42"/>
      <c r="I52" s="74"/>
      <c r="J52" s="43"/>
      <c r="K52" s="44"/>
      <c r="L52" s="41"/>
      <c r="M52" s="41"/>
      <c r="N52" s="45"/>
      <c r="O52" s="45"/>
      <c r="P52" s="44"/>
      <c r="Q52" s="44"/>
      <c r="R52" s="41"/>
      <c r="S52" s="46"/>
      <c r="T52" s="47"/>
      <c r="U52" s="48"/>
      <c r="V52" s="49"/>
      <c r="W52" s="51"/>
      <c r="X52" s="38"/>
      <c r="Y52" s="80"/>
      <c r="Z52" s="53"/>
      <c r="AA52" s="54"/>
      <c r="AB52" s="55"/>
      <c r="AC52" s="56"/>
      <c r="AD52" s="57"/>
      <c r="AF52" s="58"/>
      <c r="AG52" s="59"/>
      <c r="AH52" s="60"/>
      <c r="AI52" s="4"/>
    </row>
    <row r="53" spans="1:35">
      <c r="A53" s="38"/>
      <c r="B53" s="89"/>
      <c r="C53" s="73"/>
      <c r="D53" s="41"/>
      <c r="E53" s="87"/>
      <c r="F53" s="63"/>
      <c r="G53" s="63"/>
      <c r="H53" s="42"/>
      <c r="I53" s="74"/>
      <c r="J53" s="43"/>
      <c r="K53" s="44"/>
      <c r="L53" s="41"/>
      <c r="M53" s="41"/>
      <c r="N53" s="45"/>
      <c r="O53" s="45"/>
      <c r="P53" s="44"/>
      <c r="Q53" s="44"/>
      <c r="R53" s="41"/>
      <c r="S53" s="46"/>
      <c r="T53" s="47"/>
      <c r="U53" s="48"/>
      <c r="V53" s="49"/>
      <c r="W53" s="51"/>
      <c r="X53" s="38"/>
      <c r="Y53" s="90"/>
      <c r="Z53" s="53"/>
      <c r="AA53" s="54"/>
      <c r="AB53" s="55"/>
      <c r="AC53" s="56"/>
      <c r="AD53" s="57"/>
      <c r="AF53" s="58"/>
      <c r="AG53" s="59"/>
      <c r="AH53" s="60"/>
      <c r="AI53" s="4"/>
    </row>
    <row r="54" spans="1:35">
      <c r="A54" s="61"/>
      <c r="B54" s="89"/>
      <c r="C54" s="73"/>
      <c r="D54" s="41"/>
      <c r="E54" s="87"/>
      <c r="F54" s="63"/>
      <c r="G54" s="63"/>
      <c r="H54" s="42"/>
      <c r="I54" s="74"/>
      <c r="J54" s="43"/>
      <c r="K54" s="44"/>
      <c r="L54" s="41"/>
      <c r="M54" s="41"/>
      <c r="N54" s="45"/>
      <c r="O54" s="45"/>
      <c r="P54" s="44"/>
      <c r="Q54" s="44"/>
      <c r="R54" s="41"/>
      <c r="S54" s="46"/>
      <c r="T54" s="47"/>
      <c r="U54" s="48"/>
      <c r="V54" s="49"/>
      <c r="W54" s="51"/>
      <c r="X54" s="38"/>
      <c r="Y54" s="90"/>
      <c r="Z54" s="53"/>
      <c r="AA54" s="54"/>
      <c r="AB54" s="55"/>
      <c r="AC54" s="56"/>
      <c r="AD54" s="57"/>
      <c r="AF54" s="58"/>
      <c r="AG54" s="59"/>
      <c r="AH54" s="60"/>
      <c r="AI54" s="4"/>
    </row>
    <row r="55" spans="1:35">
      <c r="A55" s="92"/>
      <c r="B55" s="93"/>
      <c r="C55" s="94"/>
      <c r="D55" s="95"/>
      <c r="E55" s="96"/>
      <c r="F55" s="97"/>
      <c r="G55" s="97"/>
      <c r="H55" s="97"/>
      <c r="I55" s="97"/>
      <c r="J55" s="97"/>
      <c r="K55" s="98"/>
      <c r="L55" s="95"/>
      <c r="M55" s="95"/>
      <c r="N55" s="95"/>
      <c r="O55" s="95"/>
      <c r="P55" s="98"/>
      <c r="Q55" s="98"/>
      <c r="R55" s="95"/>
      <c r="S55" s="99"/>
      <c r="T55" s="100"/>
      <c r="U55" s="101"/>
      <c r="V55" s="50"/>
      <c r="W55" s="51"/>
      <c r="X55" s="92"/>
      <c r="Y55" s="102"/>
      <c r="Z55" s="103"/>
      <c r="AA55" s="104"/>
      <c r="AB55" s="9"/>
      <c r="AC55" s="105"/>
      <c r="AD55" s="60"/>
      <c r="AF55" s="9"/>
      <c r="AG55" s="9"/>
      <c r="AH55" s="81"/>
      <c r="AI55" s="4"/>
    </row>
    <row r="56" spans="1:35">
      <c r="A56" s="106"/>
      <c r="B56" s="93"/>
      <c r="C56" s="107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AI56" s="1"/>
    </row>
    <row r="57" spans="1:35">
      <c r="A57" s="106"/>
      <c r="B57" s="93"/>
      <c r="C57" s="10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100"/>
      <c r="U57" s="109"/>
    </row>
    <row r="58" spans="1:35">
      <c r="A58" s="12"/>
      <c r="B58" s="13"/>
      <c r="C58" s="107"/>
      <c r="D58" s="120">
        <f>SUM(D7:D54)</f>
        <v>0</v>
      </c>
      <c r="E58" s="120">
        <f t="shared" ref="E58:V58" si="0">SUM(E7:E54)</f>
        <v>0</v>
      </c>
      <c r="F58" s="120">
        <f t="shared" si="0"/>
        <v>0</v>
      </c>
      <c r="G58" s="120">
        <f t="shared" si="0"/>
        <v>0</v>
      </c>
      <c r="H58" s="120">
        <f>SUM(H7:H54)</f>
        <v>0</v>
      </c>
      <c r="I58" s="120">
        <f t="shared" si="0"/>
        <v>0</v>
      </c>
      <c r="J58" s="120"/>
      <c r="K58" s="121">
        <f t="shared" si="0"/>
        <v>0</v>
      </c>
      <c r="L58" s="121">
        <f t="shared" si="0"/>
        <v>0</v>
      </c>
      <c r="M58" s="121">
        <f t="shared" si="0"/>
        <v>0</v>
      </c>
      <c r="N58" s="121">
        <f t="shared" si="0"/>
        <v>0</v>
      </c>
      <c r="O58" s="121">
        <f>SUM(O7:O54)</f>
        <v>0</v>
      </c>
      <c r="P58" s="121">
        <f>SUM(P7:P54)</f>
        <v>0</v>
      </c>
      <c r="Q58" s="121">
        <f>SUM(Q7:Q54)</f>
        <v>0</v>
      </c>
      <c r="R58" s="121">
        <f>SUM(R7:R54)</f>
        <v>0</v>
      </c>
      <c r="S58" s="121">
        <f t="shared" si="0"/>
        <v>0</v>
      </c>
      <c r="T58" s="122">
        <f>SUM(T7:T54)</f>
        <v>0</v>
      </c>
      <c r="U58" s="120">
        <f t="shared" si="0"/>
        <v>0</v>
      </c>
      <c r="V58" s="120">
        <f t="shared" si="0"/>
        <v>0</v>
      </c>
      <c r="W58" s="110"/>
      <c r="X58" s="111"/>
      <c r="Z58" s="123">
        <f>SUM(Z7:Z54)</f>
        <v>0</v>
      </c>
      <c r="AA58" s="123">
        <f>SUM(AA7:AA54)</f>
        <v>0</v>
      </c>
      <c r="AB58" s="123">
        <f>SUM(AB7:AB54)</f>
        <v>0</v>
      </c>
      <c r="AC58" s="123">
        <f>SUM(AC7:AC55)</f>
        <v>0</v>
      </c>
      <c r="AD58" s="123">
        <f>SUM(AD7:AD55)</f>
        <v>0</v>
      </c>
      <c r="AE58" s="123"/>
      <c r="AF58" s="123">
        <f>SUM(AF7:AF54)</f>
        <v>0</v>
      </c>
      <c r="AG58" s="123">
        <f>SUM(AG7:AG54)</f>
        <v>0</v>
      </c>
    </row>
    <row r="59" spans="1:35">
      <c r="D59" s="112"/>
      <c r="E59" s="113"/>
      <c r="F59" s="112"/>
      <c r="G59" s="112"/>
      <c r="H59" s="112"/>
      <c r="I59" s="112"/>
      <c r="J59" s="112"/>
      <c r="K59" s="10"/>
      <c r="L59" s="114"/>
      <c r="M59" s="113"/>
      <c r="N59" s="113"/>
      <c r="O59" s="113"/>
      <c r="P59" s="113"/>
      <c r="Q59" s="113"/>
      <c r="R59" s="113"/>
      <c r="S59" s="5"/>
      <c r="T59" s="115"/>
      <c r="U59" s="116"/>
      <c r="V59" s="116"/>
    </row>
    <row r="60" spans="1:35">
      <c r="D60" s="6"/>
      <c r="E60" s="6"/>
      <c r="F60" s="6"/>
      <c r="G60" s="6"/>
      <c r="H60" s="7"/>
      <c r="I60" s="6"/>
      <c r="J60" s="6"/>
      <c r="K60" s="6"/>
      <c r="L60" s="8"/>
      <c r="M60" s="8"/>
      <c r="N60" s="8"/>
      <c r="O60" s="8"/>
      <c r="P60" s="8"/>
      <c r="Q60" s="8"/>
      <c r="R60" s="8"/>
      <c r="S60" s="117"/>
      <c r="T60" s="118">
        <f>+T58</f>
        <v>0</v>
      </c>
      <c r="U60" s="119"/>
      <c r="V60" s="50"/>
      <c r="AF60" s="9"/>
      <c r="AI60" s="3"/>
    </row>
  </sheetData>
  <autoFilter ref="A5:T54" xr:uid="{48E79F44-8EAB-48B9-A4A9-4B735FB4E960}">
    <filterColumn colId="3" showButton="0"/>
    <filterColumn colId="4" showButton="0"/>
    <filterColumn colId="5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</autoFilter>
  <mergeCells count="26">
    <mergeCell ref="O5:R5"/>
    <mergeCell ref="AD5:AD6"/>
    <mergeCell ref="AC5:AC6"/>
    <mergeCell ref="AB5:AB6"/>
    <mergeCell ref="AA5:AA6"/>
    <mergeCell ref="Z5:Z6"/>
    <mergeCell ref="V5:V6"/>
    <mergeCell ref="U5:U6"/>
    <mergeCell ref="T5:T6"/>
    <mergeCell ref="S5:S6"/>
    <mergeCell ref="AF3:AI3"/>
    <mergeCell ref="I5:I6"/>
    <mergeCell ref="X5:X6"/>
    <mergeCell ref="Y5:Y6"/>
    <mergeCell ref="J5:J6"/>
    <mergeCell ref="X3:AD3"/>
    <mergeCell ref="AG5:AG6"/>
    <mergeCell ref="X4:AD4"/>
    <mergeCell ref="A4:V4"/>
    <mergeCell ref="A5:A6"/>
    <mergeCell ref="H5:H6"/>
    <mergeCell ref="D5:G5"/>
    <mergeCell ref="C5:C6"/>
    <mergeCell ref="B5:B6"/>
    <mergeCell ref="AF5:AF6"/>
    <mergeCell ref="K5:N5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EDFAF-1FFB-473B-B602-BC103D13D6F0}">
  <dimension ref="A1:AW67"/>
  <sheetViews>
    <sheetView zoomScaleNormal="100" workbookViewId="0">
      <pane xSplit="3" ySplit="6" topLeftCell="D43" activePane="bottomRight" state="frozen"/>
      <selection pane="topRight" activeCell="D1" sqref="D1"/>
      <selection pane="bottomLeft" activeCell="A7" sqref="A7"/>
      <selection pane="bottomRight" activeCell="B45" sqref="B45"/>
    </sheetView>
  </sheetViews>
  <sheetFormatPr baseColWidth="10" defaultRowHeight="13.8" outlineLevelCol="1"/>
  <cols>
    <col min="1" max="1" width="4.33203125" style="6" customWidth="1" outlineLevel="1"/>
    <col min="2" max="2" width="28.88671875" style="2" customWidth="1" outlineLevel="1"/>
    <col min="3" max="5" width="8.44140625" style="2" customWidth="1" outlineLevel="1"/>
    <col min="6" max="21" width="5.77734375" style="2" customWidth="1" outlineLevel="1"/>
    <col min="22" max="22" width="11.21875" style="2" customWidth="1" outlineLevel="1"/>
    <col min="23" max="25" width="8.44140625" style="2" customWidth="1" outlineLevel="1"/>
    <col min="26" max="27" width="11" style="2" customWidth="1" outlineLevel="1"/>
    <col min="28" max="33" width="13.5546875" style="2" customWidth="1" outlineLevel="1"/>
    <col min="34" max="38" width="11.44140625" style="2" customWidth="1" outlineLevel="1"/>
    <col min="39" max="39" width="12.88671875" style="2" bestFit="1" customWidth="1" outlineLevel="1"/>
    <col min="40" max="42" width="10.33203125" style="2" customWidth="1" outlineLevel="1"/>
    <col min="43" max="43" width="10.33203125" style="3" customWidth="1" outlineLevel="1"/>
    <col min="44" max="44" width="11.5546875" style="2"/>
    <col min="45" max="49" width="7.77734375" style="2" customWidth="1"/>
    <col min="50" max="16384" width="11.5546875" style="2"/>
  </cols>
  <sheetData>
    <row r="1" spans="1:49">
      <c r="A1" s="12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4"/>
      <c r="AI1" s="14"/>
      <c r="AJ1" s="14"/>
      <c r="AK1" s="14"/>
      <c r="AL1" s="14"/>
      <c r="AM1" s="14"/>
      <c r="AN1" s="14"/>
      <c r="AO1" s="14"/>
      <c r="AP1" s="15">
        <f>AP2*8</f>
        <v>216</v>
      </c>
      <c r="AQ1" s="16" t="s">
        <v>1</v>
      </c>
    </row>
    <row r="2" spans="1:49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21">
        <v>27</v>
      </c>
      <c r="AQ2" s="22" t="s">
        <v>42</v>
      </c>
    </row>
    <row r="3" spans="1:49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4">
        <v>31</v>
      </c>
      <c r="AQ3" s="25" t="s">
        <v>43</v>
      </c>
    </row>
    <row r="4" spans="1:49" ht="20.399999999999999" customHeight="1">
      <c r="A4" s="169" t="s">
        <v>37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27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7"/>
      <c r="AP4" s="127"/>
      <c r="AQ4" s="127"/>
    </row>
    <row r="5" spans="1:49" ht="15" customHeight="1">
      <c r="A5" s="187" t="s">
        <v>6</v>
      </c>
      <c r="B5" s="187" t="s">
        <v>7</v>
      </c>
      <c r="C5" s="189" t="s">
        <v>8</v>
      </c>
      <c r="D5" s="182" t="s">
        <v>86</v>
      </c>
      <c r="E5" s="182"/>
      <c r="F5" s="196" t="s">
        <v>101</v>
      </c>
      <c r="G5" s="197"/>
      <c r="H5" s="197"/>
      <c r="I5" s="197"/>
      <c r="J5" s="197"/>
      <c r="K5" s="197"/>
      <c r="L5" s="197"/>
      <c r="M5" s="197"/>
      <c r="N5" s="198" t="s">
        <v>108</v>
      </c>
      <c r="O5" s="198"/>
      <c r="P5" s="198"/>
      <c r="Q5" s="198"/>
      <c r="R5" s="198"/>
      <c r="S5" s="198"/>
      <c r="T5" s="198"/>
      <c r="U5" s="198"/>
      <c r="V5" s="155"/>
      <c r="W5" s="155"/>
      <c r="X5" s="156"/>
      <c r="Y5" s="184" t="s">
        <v>63</v>
      </c>
      <c r="Z5" s="185"/>
      <c r="AA5" s="185"/>
      <c r="AB5" s="185"/>
      <c r="AC5" s="185"/>
      <c r="AD5" s="185"/>
      <c r="AE5" s="185"/>
      <c r="AF5" s="185"/>
      <c r="AG5" s="186"/>
      <c r="AH5" s="191" t="s">
        <v>64</v>
      </c>
      <c r="AI5" s="192"/>
      <c r="AJ5" s="192"/>
      <c r="AK5" s="192"/>
      <c r="AL5" s="193"/>
      <c r="AM5" s="194" t="s">
        <v>93</v>
      </c>
      <c r="AN5" s="183" t="s">
        <v>47</v>
      </c>
      <c r="AO5" s="183"/>
      <c r="AP5" s="183"/>
      <c r="AQ5" s="183"/>
    </row>
    <row r="6" spans="1:49" ht="132.6" customHeight="1">
      <c r="A6" s="188"/>
      <c r="B6" s="188"/>
      <c r="C6" s="190"/>
      <c r="D6" s="34" t="s">
        <v>84</v>
      </c>
      <c r="E6" s="34" t="s">
        <v>85</v>
      </c>
      <c r="F6" s="157" t="s">
        <v>99</v>
      </c>
      <c r="G6" s="157" t="s">
        <v>100</v>
      </c>
      <c r="H6" s="157" t="s">
        <v>107</v>
      </c>
      <c r="I6" s="157" t="s">
        <v>106</v>
      </c>
      <c r="J6" s="157" t="s">
        <v>105</v>
      </c>
      <c r="K6" s="157" t="s">
        <v>104</v>
      </c>
      <c r="L6" s="157" t="s">
        <v>103</v>
      </c>
      <c r="M6" s="158" t="s">
        <v>102</v>
      </c>
      <c r="N6" s="159" t="s">
        <v>109</v>
      </c>
      <c r="O6" s="159" t="s">
        <v>110</v>
      </c>
      <c r="P6" s="159" t="s">
        <v>111</v>
      </c>
      <c r="Q6" s="159" t="s">
        <v>112</v>
      </c>
      <c r="R6" s="159" t="s">
        <v>113</v>
      </c>
      <c r="S6" s="159" t="s">
        <v>114</v>
      </c>
      <c r="T6" s="159" t="s">
        <v>115</v>
      </c>
      <c r="U6" s="159" t="s">
        <v>116</v>
      </c>
      <c r="V6" s="128" t="s">
        <v>54</v>
      </c>
      <c r="W6" s="128" t="s">
        <v>48</v>
      </c>
      <c r="X6" s="128" t="s">
        <v>55</v>
      </c>
      <c r="Y6" s="124" t="s">
        <v>83</v>
      </c>
      <c r="Z6" s="126" t="s">
        <v>56</v>
      </c>
      <c r="AA6" s="129" t="s">
        <v>57</v>
      </c>
      <c r="AB6" s="129" t="s">
        <v>62</v>
      </c>
      <c r="AC6" s="153" t="s">
        <v>98</v>
      </c>
      <c r="AD6" s="129" t="s">
        <v>58</v>
      </c>
      <c r="AE6" s="129" t="s">
        <v>60</v>
      </c>
      <c r="AF6" s="129" t="s">
        <v>59</v>
      </c>
      <c r="AG6" s="129" t="s">
        <v>61</v>
      </c>
      <c r="AH6" s="130" t="s">
        <v>65</v>
      </c>
      <c r="AI6" s="131" t="s">
        <v>66</v>
      </c>
      <c r="AJ6" s="131" t="s">
        <v>67</v>
      </c>
      <c r="AK6" s="131" t="s">
        <v>69</v>
      </c>
      <c r="AL6" s="131" t="s">
        <v>68</v>
      </c>
      <c r="AM6" s="195"/>
      <c r="AN6" s="150" t="s">
        <v>94</v>
      </c>
      <c r="AO6" s="150" t="s">
        <v>95</v>
      </c>
      <c r="AP6" s="30" t="s">
        <v>96</v>
      </c>
      <c r="AQ6" s="151" t="s">
        <v>97</v>
      </c>
    </row>
    <row r="7" spans="1:49">
      <c r="A7" s="38"/>
      <c r="B7" s="52"/>
      <c r="C7" s="40"/>
      <c r="D7" s="146"/>
      <c r="E7" s="146"/>
      <c r="F7" s="160"/>
      <c r="G7" s="160"/>
      <c r="H7" s="160"/>
      <c r="I7" s="160"/>
      <c r="J7" s="160"/>
      <c r="K7" s="160"/>
      <c r="L7" s="161"/>
      <c r="M7" s="161"/>
      <c r="N7" s="161"/>
      <c r="O7" s="161"/>
      <c r="P7" s="161"/>
      <c r="Q7" s="161"/>
      <c r="R7" s="161"/>
      <c r="S7" s="161"/>
      <c r="T7" s="161"/>
      <c r="U7" s="161"/>
      <c r="V7" s="125"/>
      <c r="W7" s="125"/>
      <c r="X7" s="125"/>
      <c r="Y7" s="125"/>
      <c r="Z7" s="125"/>
      <c r="AA7" s="125"/>
      <c r="AB7" s="125"/>
      <c r="AC7" s="154"/>
      <c r="AD7" s="125"/>
      <c r="AE7" s="125"/>
      <c r="AF7" s="125"/>
      <c r="AG7" s="125"/>
      <c r="AH7" s="41"/>
      <c r="AI7" s="42"/>
      <c r="AJ7" s="42"/>
      <c r="AK7" s="42"/>
      <c r="AL7" s="42"/>
      <c r="AM7" s="152"/>
      <c r="AN7" s="42"/>
      <c r="AO7" s="42"/>
      <c r="AP7" s="41"/>
      <c r="AQ7" s="63"/>
      <c r="AT7" s="1"/>
      <c r="AV7" s="1"/>
      <c r="AW7" s="1"/>
    </row>
    <row r="8" spans="1:49">
      <c r="A8" s="61"/>
      <c r="B8" s="79"/>
      <c r="C8" s="40"/>
      <c r="D8" s="146"/>
      <c r="E8" s="146"/>
      <c r="F8" s="160"/>
      <c r="G8" s="160"/>
      <c r="H8" s="160"/>
      <c r="I8" s="160"/>
      <c r="J8" s="160"/>
      <c r="K8" s="160"/>
      <c r="L8" s="161"/>
      <c r="M8" s="161"/>
      <c r="N8" s="161"/>
      <c r="O8" s="161"/>
      <c r="P8" s="161"/>
      <c r="Q8" s="161"/>
      <c r="R8" s="161"/>
      <c r="S8" s="161"/>
      <c r="T8" s="161"/>
      <c r="U8" s="161"/>
      <c r="V8" s="125"/>
      <c r="W8" s="125"/>
      <c r="X8" s="125"/>
      <c r="Y8" s="125"/>
      <c r="Z8" s="125"/>
      <c r="AA8" s="125"/>
      <c r="AB8" s="125"/>
      <c r="AC8" s="154"/>
      <c r="AD8" s="125"/>
      <c r="AE8" s="125"/>
      <c r="AF8" s="125"/>
      <c r="AG8" s="125"/>
      <c r="AH8" s="41"/>
      <c r="AI8" s="42"/>
      <c r="AJ8" s="42"/>
      <c r="AK8" s="42"/>
      <c r="AL8" s="42"/>
      <c r="AM8" s="152"/>
      <c r="AN8" s="42"/>
      <c r="AO8" s="42"/>
      <c r="AP8" s="41"/>
      <c r="AQ8" s="63"/>
      <c r="AS8" s="10" t="s">
        <v>90</v>
      </c>
      <c r="AT8" s="10" t="s">
        <v>89</v>
      </c>
      <c r="AU8" s="10" t="s">
        <v>91</v>
      </c>
      <c r="AV8" s="10" t="s">
        <v>92</v>
      </c>
      <c r="AW8" s="10" t="s">
        <v>117</v>
      </c>
    </row>
    <row r="9" spans="1:49" ht="14.4">
      <c r="A9" s="38"/>
      <c r="B9" s="79"/>
      <c r="C9" s="40"/>
      <c r="D9" s="146"/>
      <c r="E9" s="146"/>
      <c r="F9" s="160"/>
      <c r="G9" s="160"/>
      <c r="H9" s="160"/>
      <c r="I9" s="160"/>
      <c r="J9" s="160"/>
      <c r="K9" s="160"/>
      <c r="L9" s="161"/>
      <c r="M9" s="161"/>
      <c r="N9" s="161"/>
      <c r="O9" s="161"/>
      <c r="P9" s="161"/>
      <c r="Q9" s="161"/>
      <c r="R9" s="161"/>
      <c r="S9" s="161"/>
      <c r="T9" s="161"/>
      <c r="U9" s="161"/>
      <c r="V9" s="125"/>
      <c r="W9" s="125"/>
      <c r="X9" s="125"/>
      <c r="Y9" s="125"/>
      <c r="Z9" s="125"/>
      <c r="AA9" s="125"/>
      <c r="AB9" s="125"/>
      <c r="AC9" s="154"/>
      <c r="AD9" s="125"/>
      <c r="AE9" s="125"/>
      <c r="AF9" s="125"/>
      <c r="AG9" s="125"/>
      <c r="AH9" s="41"/>
      <c r="AI9" s="42"/>
      <c r="AJ9" s="42"/>
      <c r="AK9" s="42"/>
      <c r="AL9" s="42"/>
      <c r="AM9" s="152"/>
      <c r="AN9" s="42"/>
      <c r="AO9" s="42"/>
      <c r="AP9" s="41"/>
      <c r="AQ9" s="63"/>
      <c r="AS9" s="149" t="s">
        <v>87</v>
      </c>
      <c r="AT9" s="148">
        <f>'DESCUENTO AFP'!B4</f>
        <v>0</v>
      </c>
      <c r="AU9" s="148">
        <f>'DESCUENTO AFP'!D4</f>
        <v>0</v>
      </c>
      <c r="AV9" s="148">
        <v>0</v>
      </c>
      <c r="AW9" s="162">
        <v>0.1</v>
      </c>
    </row>
    <row r="10" spans="1:49" ht="14.4">
      <c r="A10" s="61"/>
      <c r="B10" s="79"/>
      <c r="C10" s="64"/>
      <c r="D10" s="146"/>
      <c r="E10" s="146"/>
      <c r="F10" s="160"/>
      <c r="G10" s="160"/>
      <c r="H10" s="160"/>
      <c r="I10" s="160"/>
      <c r="J10" s="160"/>
      <c r="K10" s="160"/>
      <c r="L10" s="161"/>
      <c r="M10" s="161"/>
      <c r="N10" s="161"/>
      <c r="O10" s="161"/>
      <c r="P10" s="161"/>
      <c r="Q10" s="161"/>
      <c r="R10" s="161"/>
      <c r="S10" s="161"/>
      <c r="T10" s="161"/>
      <c r="U10" s="161"/>
      <c r="V10" s="125"/>
      <c r="W10" s="125"/>
      <c r="X10" s="125"/>
      <c r="Y10" s="125"/>
      <c r="Z10" s="125"/>
      <c r="AA10" s="125"/>
      <c r="AB10" s="125"/>
      <c r="AC10" s="154"/>
      <c r="AD10" s="125"/>
      <c r="AE10" s="125"/>
      <c r="AF10" s="125"/>
      <c r="AG10" s="125"/>
      <c r="AH10" s="41"/>
      <c r="AI10" s="42"/>
      <c r="AJ10" s="42"/>
      <c r="AK10" s="42"/>
      <c r="AL10" s="42"/>
      <c r="AM10" s="152"/>
      <c r="AN10" s="42"/>
      <c r="AO10" s="42"/>
      <c r="AP10" s="41"/>
      <c r="AQ10" s="63"/>
      <c r="AS10" s="149" t="s">
        <v>33</v>
      </c>
      <c r="AT10" s="148">
        <f>'DESCUENTO AFP'!B5</f>
        <v>0</v>
      </c>
      <c r="AU10" s="148">
        <f>'DESCUENTO AFP'!D5</f>
        <v>0</v>
      </c>
      <c r="AV10" s="148">
        <v>0</v>
      </c>
      <c r="AW10" s="162">
        <v>0.1</v>
      </c>
    </row>
    <row r="11" spans="1:49" ht="14.4">
      <c r="A11" s="38"/>
      <c r="B11" s="79"/>
      <c r="C11" s="66"/>
      <c r="D11" s="146"/>
      <c r="E11" s="146"/>
      <c r="F11" s="160"/>
      <c r="G11" s="160"/>
      <c r="H11" s="160"/>
      <c r="I11" s="160"/>
      <c r="J11" s="160"/>
      <c r="K11" s="160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25"/>
      <c r="W11" s="125"/>
      <c r="X11" s="125"/>
      <c r="Y11" s="125"/>
      <c r="Z11" s="125"/>
      <c r="AA11" s="125"/>
      <c r="AB11" s="125"/>
      <c r="AC11" s="154"/>
      <c r="AD11" s="125"/>
      <c r="AE11" s="125"/>
      <c r="AF11" s="125"/>
      <c r="AG11" s="125"/>
      <c r="AH11" s="41"/>
      <c r="AI11" s="42"/>
      <c r="AJ11" s="42"/>
      <c r="AK11" s="42"/>
      <c r="AL11" s="42"/>
      <c r="AM11" s="152"/>
      <c r="AN11" s="42"/>
      <c r="AO11" s="42"/>
      <c r="AP11" s="41"/>
      <c r="AQ11" s="63"/>
      <c r="AS11" s="149" t="s">
        <v>88</v>
      </c>
      <c r="AT11" s="148">
        <f>'DESCUENTO AFP'!B6</f>
        <v>0</v>
      </c>
      <c r="AU11" s="148">
        <f>'DESCUENTO AFP'!D6</f>
        <v>0</v>
      </c>
      <c r="AV11" s="148">
        <v>0</v>
      </c>
      <c r="AW11" s="162">
        <v>0.1</v>
      </c>
    </row>
    <row r="12" spans="1:49" ht="14.4">
      <c r="A12" s="61"/>
      <c r="B12" s="163"/>
      <c r="C12" s="125"/>
      <c r="D12" s="146"/>
      <c r="E12" s="146"/>
      <c r="F12" s="160"/>
      <c r="G12" s="160"/>
      <c r="H12" s="160"/>
      <c r="I12" s="160"/>
      <c r="J12" s="160"/>
      <c r="K12" s="160"/>
      <c r="L12" s="161"/>
      <c r="M12" s="161"/>
      <c r="N12" s="161"/>
      <c r="O12" s="161"/>
      <c r="P12" s="161"/>
      <c r="Q12" s="161"/>
      <c r="R12" s="161"/>
      <c r="S12" s="161"/>
      <c r="T12" s="161"/>
      <c r="U12" s="161"/>
      <c r="V12" s="125"/>
      <c r="W12" s="125"/>
      <c r="X12" s="125"/>
      <c r="Y12" s="125"/>
      <c r="Z12" s="125"/>
      <c r="AA12" s="125"/>
      <c r="AB12" s="125"/>
      <c r="AC12" s="154"/>
      <c r="AD12" s="125"/>
      <c r="AE12" s="125"/>
      <c r="AF12" s="125"/>
      <c r="AG12" s="125"/>
      <c r="AH12" s="41"/>
      <c r="AI12" s="42"/>
      <c r="AJ12" s="42"/>
      <c r="AK12" s="42"/>
      <c r="AL12" s="42"/>
      <c r="AM12" s="152"/>
      <c r="AN12" s="42"/>
      <c r="AO12" s="42"/>
      <c r="AP12" s="41"/>
      <c r="AQ12" s="63"/>
      <c r="AS12" s="149" t="s">
        <v>29</v>
      </c>
      <c r="AT12" s="148">
        <f>'DESCUENTO AFP'!B7</f>
        <v>0</v>
      </c>
      <c r="AU12" s="148">
        <f>'DESCUENTO AFP'!D7</f>
        <v>0</v>
      </c>
      <c r="AV12" s="148">
        <v>0</v>
      </c>
      <c r="AW12" s="162">
        <v>0.1</v>
      </c>
    </row>
    <row r="13" spans="1:49" ht="14.4">
      <c r="A13" s="38"/>
      <c r="B13" s="163"/>
      <c r="C13" s="71"/>
      <c r="D13" s="146"/>
      <c r="E13" s="146"/>
      <c r="F13" s="160"/>
      <c r="G13" s="160"/>
      <c r="H13" s="160"/>
      <c r="I13" s="160"/>
      <c r="J13" s="160"/>
      <c r="K13" s="160"/>
      <c r="L13" s="161"/>
      <c r="M13" s="161"/>
      <c r="N13" s="161"/>
      <c r="O13" s="161"/>
      <c r="P13" s="161"/>
      <c r="Q13" s="161"/>
      <c r="R13" s="161"/>
      <c r="S13" s="161"/>
      <c r="T13" s="161"/>
      <c r="U13" s="161"/>
      <c r="V13" s="125"/>
      <c r="W13" s="125"/>
      <c r="X13" s="125"/>
      <c r="Y13" s="125"/>
      <c r="Z13" s="125"/>
      <c r="AA13" s="125"/>
      <c r="AB13" s="125"/>
      <c r="AC13" s="154"/>
      <c r="AD13" s="125"/>
      <c r="AE13" s="125"/>
      <c r="AF13" s="125"/>
      <c r="AG13" s="125"/>
      <c r="AH13" s="41"/>
      <c r="AI13" s="42"/>
      <c r="AJ13" s="42"/>
      <c r="AK13" s="42"/>
      <c r="AL13" s="42"/>
      <c r="AM13" s="152"/>
      <c r="AN13" s="42"/>
      <c r="AO13" s="42"/>
      <c r="AP13" s="41"/>
      <c r="AQ13" s="63"/>
      <c r="AS13" s="149" t="s">
        <v>32</v>
      </c>
      <c r="AT13" s="148">
        <v>0</v>
      </c>
      <c r="AU13" s="6"/>
      <c r="AV13" s="6"/>
      <c r="AW13" s="162">
        <v>0.13</v>
      </c>
    </row>
    <row r="14" spans="1:49" ht="14.4">
      <c r="A14" s="61"/>
      <c r="B14" s="79"/>
      <c r="C14" s="40"/>
      <c r="D14" s="146"/>
      <c r="E14" s="146"/>
      <c r="F14" s="160"/>
      <c r="G14" s="160"/>
      <c r="H14" s="160"/>
      <c r="I14" s="160"/>
      <c r="J14" s="160"/>
      <c r="K14" s="160"/>
      <c r="L14" s="161"/>
      <c r="M14" s="161"/>
      <c r="N14" s="161"/>
      <c r="O14" s="161"/>
      <c r="P14" s="161"/>
      <c r="Q14" s="161"/>
      <c r="R14" s="161"/>
      <c r="S14" s="161"/>
      <c r="T14" s="161"/>
      <c r="U14" s="161"/>
      <c r="V14" s="125"/>
      <c r="W14" s="125"/>
      <c r="X14" s="125"/>
      <c r="Y14" s="125"/>
      <c r="Z14" s="125"/>
      <c r="AA14" s="125"/>
      <c r="AB14" s="125"/>
      <c r="AC14" s="154"/>
      <c r="AD14" s="125"/>
      <c r="AE14" s="125"/>
      <c r="AF14" s="125"/>
      <c r="AG14" s="125"/>
      <c r="AH14" s="41"/>
      <c r="AI14" s="42"/>
      <c r="AJ14" s="42"/>
      <c r="AK14" s="42"/>
      <c r="AL14" s="42"/>
      <c r="AM14" s="152"/>
      <c r="AN14" s="42"/>
      <c r="AO14" s="42"/>
      <c r="AP14" s="41"/>
      <c r="AQ14" s="63"/>
      <c r="AS14" s="149" t="s">
        <v>30</v>
      </c>
      <c r="AT14" s="148">
        <v>0</v>
      </c>
      <c r="AU14" s="147">
        <f>'DESCUENTO AFP'!D4</f>
        <v>0</v>
      </c>
      <c r="AV14" s="148">
        <v>0</v>
      </c>
      <c r="AW14" s="162">
        <v>0.1</v>
      </c>
    </row>
    <row r="15" spans="1:49" ht="14.4">
      <c r="A15" s="38"/>
      <c r="B15" s="79"/>
      <c r="C15" s="73"/>
      <c r="D15" s="146"/>
      <c r="E15" s="146"/>
      <c r="F15" s="160"/>
      <c r="G15" s="160"/>
      <c r="H15" s="160"/>
      <c r="I15" s="160"/>
      <c r="J15" s="160"/>
      <c r="K15" s="160"/>
      <c r="L15" s="161"/>
      <c r="M15" s="161"/>
      <c r="N15" s="161"/>
      <c r="O15" s="161"/>
      <c r="P15" s="161"/>
      <c r="Q15" s="161"/>
      <c r="R15" s="161"/>
      <c r="S15" s="161"/>
      <c r="T15" s="161"/>
      <c r="U15" s="161"/>
      <c r="V15" s="125"/>
      <c r="W15" s="125"/>
      <c r="X15" s="125"/>
      <c r="Y15" s="125"/>
      <c r="Z15" s="125"/>
      <c r="AA15" s="125"/>
      <c r="AB15" s="125"/>
      <c r="AC15" s="154"/>
      <c r="AD15" s="125"/>
      <c r="AE15" s="125"/>
      <c r="AF15" s="125"/>
      <c r="AG15" s="125"/>
      <c r="AH15" s="41"/>
      <c r="AI15" s="42"/>
      <c r="AJ15" s="42"/>
      <c r="AK15" s="42"/>
      <c r="AL15" s="42"/>
      <c r="AM15" s="152"/>
      <c r="AN15" s="42"/>
      <c r="AO15" s="42"/>
      <c r="AP15" s="41"/>
      <c r="AQ15" s="63"/>
      <c r="AS15" s="149" t="s">
        <v>34</v>
      </c>
      <c r="AT15" s="148">
        <v>0</v>
      </c>
      <c r="AU15" s="147">
        <f>'DESCUENTO AFP'!D5</f>
        <v>0</v>
      </c>
      <c r="AV15" s="148">
        <v>0</v>
      </c>
      <c r="AW15" s="162">
        <v>0.1</v>
      </c>
    </row>
    <row r="16" spans="1:49" ht="14.4">
      <c r="A16" s="61"/>
      <c r="B16" s="79"/>
      <c r="C16" s="71"/>
      <c r="D16" s="146"/>
      <c r="E16" s="146"/>
      <c r="F16" s="160"/>
      <c r="G16" s="160"/>
      <c r="H16" s="160"/>
      <c r="I16" s="160"/>
      <c r="J16" s="160"/>
      <c r="K16" s="160"/>
      <c r="L16" s="161"/>
      <c r="M16" s="161"/>
      <c r="N16" s="161"/>
      <c r="O16" s="161"/>
      <c r="P16" s="161"/>
      <c r="Q16" s="161"/>
      <c r="R16" s="161"/>
      <c r="S16" s="161"/>
      <c r="T16" s="161"/>
      <c r="U16" s="161"/>
      <c r="V16" s="125"/>
      <c r="W16" s="125"/>
      <c r="X16" s="125"/>
      <c r="Y16" s="125"/>
      <c r="Z16" s="125"/>
      <c r="AA16" s="125"/>
      <c r="AB16" s="125"/>
      <c r="AC16" s="154"/>
      <c r="AD16" s="125"/>
      <c r="AE16" s="125"/>
      <c r="AF16" s="125"/>
      <c r="AG16" s="125"/>
      <c r="AH16" s="41"/>
      <c r="AI16" s="42"/>
      <c r="AJ16" s="42"/>
      <c r="AK16" s="42"/>
      <c r="AL16" s="42"/>
      <c r="AM16" s="152"/>
      <c r="AN16" s="42"/>
      <c r="AO16" s="42"/>
      <c r="AP16" s="41"/>
      <c r="AQ16" s="63"/>
      <c r="AS16" s="149" t="s">
        <v>35</v>
      </c>
      <c r="AT16" s="148">
        <v>0</v>
      </c>
      <c r="AU16" s="147">
        <f>'DESCUENTO AFP'!D6</f>
        <v>0</v>
      </c>
      <c r="AV16" s="148">
        <v>0</v>
      </c>
      <c r="AW16" s="162">
        <v>0.1</v>
      </c>
    </row>
    <row r="17" spans="1:49" ht="14.4">
      <c r="A17" s="38"/>
      <c r="B17" s="79"/>
      <c r="C17" s="64"/>
      <c r="D17" s="146"/>
      <c r="E17" s="146"/>
      <c r="F17" s="160"/>
      <c r="G17" s="160"/>
      <c r="H17" s="160"/>
      <c r="I17" s="160"/>
      <c r="J17" s="160"/>
      <c r="K17" s="160"/>
      <c r="L17" s="161"/>
      <c r="M17" s="161"/>
      <c r="N17" s="161"/>
      <c r="O17" s="161"/>
      <c r="P17" s="161"/>
      <c r="Q17" s="161"/>
      <c r="R17" s="161"/>
      <c r="S17" s="161"/>
      <c r="T17" s="161"/>
      <c r="U17" s="161"/>
      <c r="V17" s="125"/>
      <c r="W17" s="125"/>
      <c r="X17" s="125"/>
      <c r="Y17" s="125"/>
      <c r="Z17" s="125"/>
      <c r="AA17" s="125"/>
      <c r="AB17" s="125"/>
      <c r="AC17" s="154"/>
      <c r="AD17" s="125"/>
      <c r="AE17" s="125"/>
      <c r="AF17" s="125"/>
      <c r="AG17" s="125"/>
      <c r="AH17" s="41"/>
      <c r="AI17" s="42"/>
      <c r="AJ17" s="42"/>
      <c r="AK17" s="42"/>
      <c r="AL17" s="42"/>
      <c r="AM17" s="152"/>
      <c r="AN17" s="42"/>
      <c r="AO17" s="42"/>
      <c r="AP17" s="41"/>
      <c r="AQ17" s="63"/>
      <c r="AS17" s="149" t="s">
        <v>31</v>
      </c>
      <c r="AT17" s="148">
        <v>0</v>
      </c>
      <c r="AU17" s="147">
        <f>'DESCUENTO AFP'!D7</f>
        <v>0</v>
      </c>
      <c r="AV17" s="148">
        <v>0</v>
      </c>
      <c r="AW17" s="162">
        <v>0.1</v>
      </c>
    </row>
    <row r="18" spans="1:49">
      <c r="A18" s="61"/>
      <c r="B18" s="79"/>
      <c r="C18" s="73"/>
      <c r="D18" s="146"/>
      <c r="E18" s="146"/>
      <c r="F18" s="160"/>
      <c r="G18" s="160"/>
      <c r="H18" s="160"/>
      <c r="I18" s="160"/>
      <c r="J18" s="160"/>
      <c r="K18" s="160"/>
      <c r="L18" s="161"/>
      <c r="M18" s="161"/>
      <c r="N18" s="161"/>
      <c r="O18" s="161"/>
      <c r="P18" s="161"/>
      <c r="Q18" s="161"/>
      <c r="R18" s="161"/>
      <c r="S18" s="161"/>
      <c r="T18" s="161"/>
      <c r="U18" s="161"/>
      <c r="V18" s="125"/>
      <c r="W18" s="125"/>
      <c r="X18" s="125"/>
      <c r="Y18" s="125"/>
      <c r="Z18" s="125"/>
      <c r="AA18" s="125"/>
      <c r="AB18" s="125"/>
      <c r="AC18" s="154"/>
      <c r="AD18" s="125"/>
      <c r="AE18" s="125"/>
      <c r="AF18" s="125"/>
      <c r="AG18" s="125"/>
      <c r="AH18" s="41"/>
      <c r="AI18" s="42"/>
      <c r="AJ18" s="42"/>
      <c r="AK18" s="42"/>
      <c r="AL18" s="42"/>
      <c r="AM18" s="152"/>
      <c r="AN18" s="42"/>
      <c r="AO18" s="42"/>
      <c r="AP18" s="41"/>
      <c r="AQ18" s="63"/>
      <c r="AT18" s="1"/>
      <c r="AV18" s="1"/>
      <c r="AW18" s="1"/>
    </row>
    <row r="19" spans="1:49">
      <c r="A19" s="38"/>
      <c r="B19" s="79"/>
      <c r="C19" s="66"/>
      <c r="D19" s="146"/>
      <c r="E19" s="146"/>
      <c r="F19" s="160"/>
      <c r="G19" s="160"/>
      <c r="H19" s="160"/>
      <c r="I19" s="160"/>
      <c r="J19" s="160"/>
      <c r="K19" s="160"/>
      <c r="L19" s="161"/>
      <c r="M19" s="161"/>
      <c r="N19" s="161"/>
      <c r="O19" s="161"/>
      <c r="P19" s="161"/>
      <c r="Q19" s="161"/>
      <c r="R19" s="161"/>
      <c r="S19" s="161"/>
      <c r="T19" s="161"/>
      <c r="U19" s="161"/>
      <c r="V19" s="125"/>
      <c r="W19" s="125"/>
      <c r="X19" s="125"/>
      <c r="Y19" s="125"/>
      <c r="Z19" s="125"/>
      <c r="AA19" s="125"/>
      <c r="AB19" s="125"/>
      <c r="AC19" s="154"/>
      <c r="AD19" s="125"/>
      <c r="AE19" s="125"/>
      <c r="AF19" s="125"/>
      <c r="AG19" s="125"/>
      <c r="AH19" s="41"/>
      <c r="AI19" s="42"/>
      <c r="AJ19" s="42"/>
      <c r="AK19" s="42"/>
      <c r="AL19" s="42"/>
      <c r="AM19" s="152"/>
      <c r="AN19" s="42"/>
      <c r="AO19" s="42"/>
      <c r="AP19" s="41"/>
      <c r="AQ19" s="63"/>
      <c r="AT19" s="1"/>
      <c r="AV19" s="1"/>
      <c r="AW19" s="1"/>
    </row>
    <row r="20" spans="1:49">
      <c r="A20" s="61"/>
      <c r="B20" s="79"/>
      <c r="C20" s="75"/>
      <c r="D20" s="146"/>
      <c r="E20" s="146"/>
      <c r="F20" s="160"/>
      <c r="G20" s="160"/>
      <c r="H20" s="160"/>
      <c r="I20" s="160"/>
      <c r="J20" s="160"/>
      <c r="K20" s="160"/>
      <c r="L20" s="161"/>
      <c r="M20" s="161"/>
      <c r="N20" s="161"/>
      <c r="O20" s="161"/>
      <c r="P20" s="161"/>
      <c r="Q20" s="161"/>
      <c r="R20" s="161"/>
      <c r="S20" s="161"/>
      <c r="T20" s="161"/>
      <c r="U20" s="161"/>
      <c r="V20" s="125"/>
      <c r="W20" s="125"/>
      <c r="X20" s="125"/>
      <c r="Y20" s="125"/>
      <c r="Z20" s="125"/>
      <c r="AA20" s="125"/>
      <c r="AB20" s="125"/>
      <c r="AC20" s="154"/>
      <c r="AD20" s="125"/>
      <c r="AE20" s="125"/>
      <c r="AF20" s="125"/>
      <c r="AG20" s="125"/>
      <c r="AH20" s="41"/>
      <c r="AI20" s="42"/>
      <c r="AJ20" s="42"/>
      <c r="AK20" s="42"/>
      <c r="AL20" s="42"/>
      <c r="AM20" s="152"/>
      <c r="AN20" s="42"/>
      <c r="AO20" s="42"/>
      <c r="AP20" s="41"/>
      <c r="AQ20" s="63"/>
      <c r="AT20" s="1"/>
      <c r="AV20" s="1"/>
      <c r="AW20" s="1"/>
    </row>
    <row r="21" spans="1:49">
      <c r="A21" s="38"/>
      <c r="B21" s="79"/>
      <c r="C21" s="40"/>
      <c r="D21" s="146"/>
      <c r="E21" s="146"/>
      <c r="F21" s="160"/>
      <c r="G21" s="160"/>
      <c r="H21" s="160"/>
      <c r="I21" s="160"/>
      <c r="J21" s="160"/>
      <c r="K21" s="160"/>
      <c r="L21" s="161"/>
      <c r="M21" s="161"/>
      <c r="N21" s="161"/>
      <c r="O21" s="161"/>
      <c r="P21" s="161"/>
      <c r="Q21" s="161"/>
      <c r="R21" s="161"/>
      <c r="S21" s="161"/>
      <c r="T21" s="161"/>
      <c r="U21" s="161"/>
      <c r="V21" s="125"/>
      <c r="W21" s="125"/>
      <c r="X21" s="125"/>
      <c r="Y21" s="125"/>
      <c r="Z21" s="125"/>
      <c r="AA21" s="125"/>
      <c r="AB21" s="125"/>
      <c r="AC21" s="154"/>
      <c r="AD21" s="125"/>
      <c r="AE21" s="125"/>
      <c r="AF21" s="125"/>
      <c r="AG21" s="125"/>
      <c r="AH21" s="41"/>
      <c r="AI21" s="42"/>
      <c r="AJ21" s="42"/>
      <c r="AK21" s="42"/>
      <c r="AL21" s="42"/>
      <c r="AM21" s="152"/>
      <c r="AN21" s="42"/>
      <c r="AO21" s="42"/>
      <c r="AP21" s="41"/>
      <c r="AQ21" s="63"/>
      <c r="AT21" s="1"/>
      <c r="AV21" s="1"/>
      <c r="AW21" s="1"/>
    </row>
    <row r="22" spans="1:49">
      <c r="A22" s="61"/>
      <c r="B22" s="79"/>
      <c r="C22" s="73"/>
      <c r="D22" s="146"/>
      <c r="E22" s="146"/>
      <c r="F22" s="160"/>
      <c r="G22" s="160"/>
      <c r="H22" s="160"/>
      <c r="I22" s="160"/>
      <c r="J22" s="160"/>
      <c r="K22" s="160"/>
      <c r="L22" s="161"/>
      <c r="M22" s="161"/>
      <c r="N22" s="161"/>
      <c r="O22" s="161"/>
      <c r="P22" s="161"/>
      <c r="Q22" s="161"/>
      <c r="R22" s="161"/>
      <c r="S22" s="161"/>
      <c r="T22" s="161"/>
      <c r="U22" s="161"/>
      <c r="V22" s="125"/>
      <c r="W22" s="125"/>
      <c r="X22" s="125"/>
      <c r="Y22" s="125"/>
      <c r="Z22" s="125"/>
      <c r="AA22" s="125"/>
      <c r="AB22" s="125"/>
      <c r="AC22" s="154"/>
      <c r="AD22" s="125"/>
      <c r="AE22" s="125"/>
      <c r="AF22" s="125"/>
      <c r="AG22" s="125"/>
      <c r="AH22" s="41"/>
      <c r="AI22" s="42"/>
      <c r="AJ22" s="42"/>
      <c r="AK22" s="42"/>
      <c r="AL22" s="42"/>
      <c r="AM22" s="152"/>
      <c r="AN22" s="42"/>
      <c r="AO22" s="42"/>
      <c r="AP22" s="41"/>
      <c r="AQ22" s="63"/>
      <c r="AT22" s="1"/>
      <c r="AV22" s="1"/>
      <c r="AW22" s="1"/>
    </row>
    <row r="23" spans="1:49">
      <c r="A23" s="38"/>
      <c r="B23" s="79"/>
      <c r="C23" s="73"/>
      <c r="D23" s="146"/>
      <c r="E23" s="146"/>
      <c r="F23" s="160"/>
      <c r="G23" s="160"/>
      <c r="H23" s="160"/>
      <c r="I23" s="160"/>
      <c r="J23" s="160"/>
      <c r="K23" s="160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V23" s="125"/>
      <c r="W23" s="125"/>
      <c r="X23" s="125"/>
      <c r="Y23" s="125"/>
      <c r="Z23" s="125"/>
      <c r="AA23" s="125"/>
      <c r="AB23" s="125"/>
      <c r="AC23" s="154"/>
      <c r="AD23" s="125"/>
      <c r="AE23" s="125"/>
      <c r="AF23" s="125"/>
      <c r="AG23" s="125"/>
      <c r="AH23" s="41"/>
      <c r="AI23" s="42"/>
      <c r="AJ23" s="42"/>
      <c r="AK23" s="42"/>
      <c r="AL23" s="42"/>
      <c r="AM23" s="152"/>
      <c r="AN23" s="42"/>
      <c r="AO23" s="42"/>
      <c r="AP23" s="41"/>
      <c r="AQ23" s="63"/>
      <c r="AT23" s="1"/>
      <c r="AV23" s="1"/>
      <c r="AW23" s="1"/>
    </row>
    <row r="24" spans="1:49">
      <c r="A24" s="61"/>
      <c r="B24" s="79"/>
      <c r="C24" s="66"/>
      <c r="D24" s="146"/>
      <c r="E24" s="146"/>
      <c r="F24" s="160"/>
      <c r="G24" s="160"/>
      <c r="H24" s="160"/>
      <c r="I24" s="160"/>
      <c r="J24" s="160"/>
      <c r="K24" s="160"/>
      <c r="L24" s="161"/>
      <c r="M24" s="161"/>
      <c r="N24" s="161"/>
      <c r="O24" s="161"/>
      <c r="P24" s="161"/>
      <c r="Q24" s="161"/>
      <c r="R24" s="161"/>
      <c r="S24" s="161"/>
      <c r="T24" s="161"/>
      <c r="U24" s="161"/>
      <c r="V24" s="125"/>
      <c r="W24" s="125"/>
      <c r="X24" s="125"/>
      <c r="Y24" s="125"/>
      <c r="Z24" s="125"/>
      <c r="AA24" s="125"/>
      <c r="AB24" s="125"/>
      <c r="AC24" s="154"/>
      <c r="AD24" s="125"/>
      <c r="AE24" s="125"/>
      <c r="AF24" s="125"/>
      <c r="AG24" s="125"/>
      <c r="AH24" s="41"/>
      <c r="AI24" s="42"/>
      <c r="AJ24" s="42"/>
      <c r="AK24" s="42"/>
      <c r="AL24" s="42"/>
      <c r="AM24" s="152"/>
      <c r="AN24" s="42"/>
      <c r="AO24" s="42"/>
      <c r="AP24" s="41"/>
      <c r="AQ24" s="63"/>
      <c r="AT24" s="1"/>
      <c r="AV24" s="1"/>
      <c r="AW24" s="1"/>
    </row>
    <row r="25" spans="1:49">
      <c r="A25" s="38"/>
      <c r="B25" s="79"/>
      <c r="C25" s="40"/>
      <c r="D25" s="146"/>
      <c r="E25" s="146"/>
      <c r="F25" s="160"/>
      <c r="G25" s="160"/>
      <c r="H25" s="160"/>
      <c r="I25" s="160"/>
      <c r="J25" s="160"/>
      <c r="K25" s="160"/>
      <c r="L25" s="161"/>
      <c r="M25" s="161"/>
      <c r="N25" s="161"/>
      <c r="O25" s="161"/>
      <c r="P25" s="161"/>
      <c r="Q25" s="161"/>
      <c r="R25" s="161"/>
      <c r="S25" s="161"/>
      <c r="T25" s="161"/>
      <c r="U25" s="161"/>
      <c r="V25" s="125"/>
      <c r="W25" s="125"/>
      <c r="X25" s="125"/>
      <c r="Y25" s="125"/>
      <c r="Z25" s="125"/>
      <c r="AA25" s="125"/>
      <c r="AB25" s="125"/>
      <c r="AC25" s="154"/>
      <c r="AD25" s="125"/>
      <c r="AE25" s="125"/>
      <c r="AF25" s="125"/>
      <c r="AG25" s="125"/>
      <c r="AH25" s="41"/>
      <c r="AI25" s="42"/>
      <c r="AJ25" s="42"/>
      <c r="AK25" s="42"/>
      <c r="AL25" s="42"/>
      <c r="AM25" s="152"/>
      <c r="AN25" s="42"/>
      <c r="AO25" s="42"/>
      <c r="AP25" s="41"/>
      <c r="AQ25" s="63"/>
      <c r="AT25" s="1"/>
      <c r="AV25" s="1"/>
      <c r="AW25" s="1"/>
    </row>
    <row r="26" spans="1:49">
      <c r="A26" s="61"/>
      <c r="B26" s="79"/>
      <c r="C26" s="40"/>
      <c r="D26" s="146"/>
      <c r="E26" s="146"/>
      <c r="F26" s="160"/>
      <c r="G26" s="160"/>
      <c r="H26" s="160"/>
      <c r="I26" s="160"/>
      <c r="J26" s="160"/>
      <c r="K26" s="160"/>
      <c r="L26" s="161"/>
      <c r="M26" s="161"/>
      <c r="N26" s="161"/>
      <c r="O26" s="161"/>
      <c r="P26" s="161"/>
      <c r="Q26" s="161"/>
      <c r="R26" s="161"/>
      <c r="S26" s="161"/>
      <c r="T26" s="161"/>
      <c r="U26" s="161"/>
      <c r="V26" s="125"/>
      <c r="W26" s="125"/>
      <c r="X26" s="125"/>
      <c r="Y26" s="125"/>
      <c r="Z26" s="125"/>
      <c r="AA26" s="125"/>
      <c r="AB26" s="125"/>
      <c r="AC26" s="154"/>
      <c r="AD26" s="125"/>
      <c r="AE26" s="125"/>
      <c r="AF26" s="125"/>
      <c r="AG26" s="125"/>
      <c r="AH26" s="41"/>
      <c r="AI26" s="42"/>
      <c r="AJ26" s="42"/>
      <c r="AK26" s="42"/>
      <c r="AL26" s="42"/>
      <c r="AM26" s="152"/>
      <c r="AN26" s="42"/>
      <c r="AO26" s="42"/>
      <c r="AP26" s="41"/>
      <c r="AQ26" s="63"/>
      <c r="AT26" s="1"/>
      <c r="AV26" s="1"/>
      <c r="AW26" s="1"/>
    </row>
    <row r="27" spans="1:49">
      <c r="A27" s="38"/>
      <c r="B27" s="79"/>
      <c r="C27" s="40"/>
      <c r="D27" s="146"/>
      <c r="E27" s="146"/>
      <c r="F27" s="160"/>
      <c r="G27" s="160"/>
      <c r="H27" s="160"/>
      <c r="I27" s="160"/>
      <c r="J27" s="160"/>
      <c r="K27" s="160"/>
      <c r="L27" s="161"/>
      <c r="M27" s="161"/>
      <c r="N27" s="161"/>
      <c r="O27" s="161"/>
      <c r="P27" s="161"/>
      <c r="Q27" s="161"/>
      <c r="R27" s="161"/>
      <c r="S27" s="161"/>
      <c r="T27" s="161"/>
      <c r="U27" s="161"/>
      <c r="V27" s="125"/>
      <c r="W27" s="125"/>
      <c r="X27" s="125"/>
      <c r="Y27" s="125"/>
      <c r="Z27" s="125"/>
      <c r="AA27" s="125"/>
      <c r="AB27" s="125"/>
      <c r="AC27" s="154"/>
      <c r="AD27" s="125"/>
      <c r="AE27" s="125"/>
      <c r="AF27" s="125"/>
      <c r="AG27" s="125"/>
      <c r="AH27" s="41"/>
      <c r="AI27" s="42"/>
      <c r="AJ27" s="42"/>
      <c r="AK27" s="42"/>
      <c r="AL27" s="42"/>
      <c r="AM27" s="152"/>
      <c r="AN27" s="42"/>
      <c r="AO27" s="42"/>
      <c r="AP27" s="41"/>
      <c r="AQ27" s="63"/>
      <c r="AT27" s="1"/>
      <c r="AV27" s="1"/>
      <c r="AW27" s="1"/>
    </row>
    <row r="28" spans="1:49">
      <c r="A28" s="61"/>
      <c r="B28" s="79"/>
      <c r="C28" s="40"/>
      <c r="D28" s="146"/>
      <c r="E28" s="146"/>
      <c r="F28" s="160"/>
      <c r="G28" s="160"/>
      <c r="H28" s="160"/>
      <c r="I28" s="160"/>
      <c r="J28" s="160"/>
      <c r="K28" s="160"/>
      <c r="L28" s="161"/>
      <c r="M28" s="161"/>
      <c r="N28" s="161"/>
      <c r="O28" s="161"/>
      <c r="P28" s="161"/>
      <c r="Q28" s="161"/>
      <c r="R28" s="161"/>
      <c r="S28" s="161"/>
      <c r="T28" s="161"/>
      <c r="U28" s="161"/>
      <c r="V28" s="125"/>
      <c r="W28" s="125"/>
      <c r="X28" s="125"/>
      <c r="Y28" s="125"/>
      <c r="Z28" s="125"/>
      <c r="AA28" s="125"/>
      <c r="AB28" s="125"/>
      <c r="AC28" s="154"/>
      <c r="AD28" s="125"/>
      <c r="AE28" s="125"/>
      <c r="AF28" s="125"/>
      <c r="AG28" s="125"/>
      <c r="AH28" s="41"/>
      <c r="AI28" s="42"/>
      <c r="AJ28" s="42"/>
      <c r="AK28" s="42"/>
      <c r="AL28" s="42"/>
      <c r="AM28" s="152"/>
      <c r="AN28" s="42"/>
      <c r="AO28" s="42"/>
      <c r="AP28" s="41"/>
      <c r="AQ28" s="63"/>
      <c r="AT28" s="1"/>
      <c r="AV28" s="1"/>
      <c r="AW28" s="1"/>
    </row>
    <row r="29" spans="1:49">
      <c r="A29" s="38"/>
      <c r="B29" s="79"/>
      <c r="C29" s="71"/>
      <c r="D29" s="146"/>
      <c r="E29" s="146"/>
      <c r="F29" s="160"/>
      <c r="G29" s="160"/>
      <c r="H29" s="160"/>
      <c r="I29" s="160"/>
      <c r="J29" s="160"/>
      <c r="K29" s="160"/>
      <c r="L29" s="161"/>
      <c r="M29" s="161"/>
      <c r="N29" s="161"/>
      <c r="O29" s="161"/>
      <c r="P29" s="161"/>
      <c r="Q29" s="161"/>
      <c r="R29" s="161"/>
      <c r="S29" s="161"/>
      <c r="T29" s="161"/>
      <c r="U29" s="161"/>
      <c r="V29" s="125"/>
      <c r="W29" s="125"/>
      <c r="X29" s="125"/>
      <c r="Y29" s="125"/>
      <c r="Z29" s="125"/>
      <c r="AA29" s="125"/>
      <c r="AB29" s="125"/>
      <c r="AC29" s="154"/>
      <c r="AD29" s="125"/>
      <c r="AE29" s="125"/>
      <c r="AF29" s="125"/>
      <c r="AG29" s="125"/>
      <c r="AH29" s="41"/>
      <c r="AI29" s="42"/>
      <c r="AJ29" s="42"/>
      <c r="AK29" s="42"/>
      <c r="AL29" s="42"/>
      <c r="AM29" s="152"/>
      <c r="AN29" s="42"/>
      <c r="AO29" s="42"/>
      <c r="AP29" s="41"/>
      <c r="AQ29" s="63"/>
      <c r="AT29" s="1"/>
      <c r="AV29" s="1"/>
      <c r="AW29" s="1"/>
    </row>
    <row r="30" spans="1:49">
      <c r="A30" s="61"/>
      <c r="B30" s="79"/>
      <c r="C30" s="40"/>
      <c r="D30" s="146"/>
      <c r="E30" s="146"/>
      <c r="F30" s="160"/>
      <c r="G30" s="160"/>
      <c r="H30" s="160"/>
      <c r="I30" s="160"/>
      <c r="J30" s="160"/>
      <c r="K30" s="160"/>
      <c r="L30" s="161"/>
      <c r="M30" s="161"/>
      <c r="N30" s="161"/>
      <c r="O30" s="161"/>
      <c r="P30" s="161"/>
      <c r="Q30" s="161"/>
      <c r="R30" s="161"/>
      <c r="S30" s="161"/>
      <c r="T30" s="161"/>
      <c r="U30" s="161"/>
      <c r="V30" s="125"/>
      <c r="W30" s="125"/>
      <c r="X30" s="125"/>
      <c r="Y30" s="125"/>
      <c r="Z30" s="125"/>
      <c r="AA30" s="125"/>
      <c r="AB30" s="125"/>
      <c r="AC30" s="154"/>
      <c r="AD30" s="125"/>
      <c r="AE30" s="125"/>
      <c r="AF30" s="125"/>
      <c r="AG30" s="125"/>
      <c r="AH30" s="41"/>
      <c r="AI30" s="42"/>
      <c r="AJ30" s="42"/>
      <c r="AK30" s="42"/>
      <c r="AL30" s="42"/>
      <c r="AM30" s="152"/>
      <c r="AN30" s="42"/>
      <c r="AO30" s="42"/>
      <c r="AP30" s="41"/>
      <c r="AQ30" s="63"/>
      <c r="AT30" s="1"/>
      <c r="AV30" s="1"/>
      <c r="AW30" s="1"/>
    </row>
    <row r="31" spans="1:49">
      <c r="A31" s="38"/>
      <c r="B31" s="52"/>
      <c r="C31" s="125"/>
      <c r="D31" s="146"/>
      <c r="E31" s="146"/>
      <c r="F31" s="160"/>
      <c r="G31" s="160"/>
      <c r="H31" s="160"/>
      <c r="I31" s="160"/>
      <c r="J31" s="160"/>
      <c r="K31" s="160"/>
      <c r="L31" s="161"/>
      <c r="M31" s="161"/>
      <c r="N31" s="161"/>
      <c r="O31" s="161"/>
      <c r="P31" s="161"/>
      <c r="Q31" s="161"/>
      <c r="R31" s="161"/>
      <c r="S31" s="161"/>
      <c r="T31" s="161"/>
      <c r="U31" s="161"/>
      <c r="V31" s="125"/>
      <c r="W31" s="125"/>
      <c r="X31" s="125"/>
      <c r="Y31" s="125"/>
      <c r="Z31" s="125"/>
      <c r="AA31" s="125"/>
      <c r="AB31" s="125"/>
      <c r="AC31" s="154"/>
      <c r="AD31" s="125"/>
      <c r="AE31" s="125"/>
      <c r="AF31" s="125"/>
      <c r="AG31" s="125"/>
      <c r="AH31" s="41"/>
      <c r="AI31" s="42"/>
      <c r="AJ31" s="42"/>
      <c r="AK31" s="42"/>
      <c r="AL31" s="42"/>
      <c r="AM31" s="152"/>
      <c r="AN31" s="42"/>
      <c r="AO31" s="42"/>
      <c r="AP31" s="41"/>
      <c r="AQ31" s="63"/>
      <c r="AT31" s="1"/>
      <c r="AV31" s="1"/>
      <c r="AW31" s="1"/>
    </row>
    <row r="32" spans="1:49">
      <c r="A32" s="61"/>
      <c r="B32" s="79"/>
      <c r="C32" s="66"/>
      <c r="D32" s="146"/>
      <c r="E32" s="146"/>
      <c r="F32" s="160"/>
      <c r="G32" s="160"/>
      <c r="H32" s="160"/>
      <c r="I32" s="160"/>
      <c r="J32" s="160"/>
      <c r="K32" s="160"/>
      <c r="L32" s="161"/>
      <c r="M32" s="161"/>
      <c r="N32" s="161"/>
      <c r="O32" s="161"/>
      <c r="P32" s="161"/>
      <c r="Q32" s="161"/>
      <c r="R32" s="161"/>
      <c r="S32" s="161"/>
      <c r="T32" s="161"/>
      <c r="U32" s="161"/>
      <c r="V32" s="125"/>
      <c r="W32" s="125"/>
      <c r="X32" s="125"/>
      <c r="Y32" s="125"/>
      <c r="Z32" s="125"/>
      <c r="AA32" s="125"/>
      <c r="AB32" s="125"/>
      <c r="AC32" s="154"/>
      <c r="AD32" s="125"/>
      <c r="AE32" s="125"/>
      <c r="AF32" s="125"/>
      <c r="AG32" s="125"/>
      <c r="AH32" s="41"/>
      <c r="AI32" s="42"/>
      <c r="AJ32" s="42"/>
      <c r="AK32" s="42"/>
      <c r="AL32" s="42"/>
      <c r="AM32" s="152"/>
      <c r="AN32" s="42"/>
      <c r="AO32" s="42"/>
      <c r="AP32" s="41"/>
      <c r="AQ32" s="63"/>
      <c r="AT32" s="1"/>
      <c r="AV32" s="1"/>
      <c r="AW32" s="1"/>
    </row>
    <row r="33" spans="1:49">
      <c r="A33" s="38"/>
      <c r="B33" s="79"/>
      <c r="C33" s="75"/>
      <c r="D33" s="146"/>
      <c r="E33" s="146"/>
      <c r="F33" s="160"/>
      <c r="G33" s="160"/>
      <c r="H33" s="160"/>
      <c r="I33" s="160"/>
      <c r="J33" s="160"/>
      <c r="K33" s="160"/>
      <c r="L33" s="161"/>
      <c r="M33" s="161"/>
      <c r="N33" s="161"/>
      <c r="O33" s="161"/>
      <c r="P33" s="161"/>
      <c r="Q33" s="161"/>
      <c r="R33" s="161"/>
      <c r="S33" s="161"/>
      <c r="T33" s="161"/>
      <c r="U33" s="161"/>
      <c r="V33" s="125"/>
      <c r="W33" s="125"/>
      <c r="X33" s="125"/>
      <c r="Y33" s="125"/>
      <c r="Z33" s="125"/>
      <c r="AA33" s="125"/>
      <c r="AB33" s="125"/>
      <c r="AC33" s="154"/>
      <c r="AD33" s="125"/>
      <c r="AE33" s="125"/>
      <c r="AF33" s="125"/>
      <c r="AG33" s="125"/>
      <c r="AH33" s="41"/>
      <c r="AI33" s="42"/>
      <c r="AJ33" s="42"/>
      <c r="AK33" s="42"/>
      <c r="AL33" s="42"/>
      <c r="AM33" s="152"/>
      <c r="AN33" s="42"/>
      <c r="AO33" s="42"/>
      <c r="AP33" s="41"/>
      <c r="AQ33" s="63"/>
      <c r="AT33" s="1"/>
      <c r="AV33" s="1"/>
      <c r="AW33" s="1"/>
    </row>
    <row r="34" spans="1:49">
      <c r="A34" s="61"/>
      <c r="B34" s="79"/>
      <c r="C34" s="40"/>
      <c r="D34" s="146"/>
      <c r="E34" s="146"/>
      <c r="F34" s="160"/>
      <c r="G34" s="160"/>
      <c r="H34" s="160"/>
      <c r="I34" s="160"/>
      <c r="J34" s="160"/>
      <c r="K34" s="160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25"/>
      <c r="W34" s="125"/>
      <c r="X34" s="125"/>
      <c r="Y34" s="125"/>
      <c r="Z34" s="125"/>
      <c r="AA34" s="125"/>
      <c r="AB34" s="125"/>
      <c r="AC34" s="154"/>
      <c r="AD34" s="125"/>
      <c r="AE34" s="125"/>
      <c r="AF34" s="125"/>
      <c r="AG34" s="125"/>
      <c r="AH34" s="41"/>
      <c r="AI34" s="42"/>
      <c r="AJ34" s="42"/>
      <c r="AK34" s="42"/>
      <c r="AL34" s="42"/>
      <c r="AM34" s="152"/>
      <c r="AN34" s="42"/>
      <c r="AO34" s="42"/>
      <c r="AP34" s="41"/>
      <c r="AQ34" s="63"/>
      <c r="AT34" s="1"/>
      <c r="AV34" s="1"/>
      <c r="AW34" s="1"/>
    </row>
    <row r="35" spans="1:49">
      <c r="A35" s="38"/>
      <c r="B35" s="82"/>
      <c r="C35" s="121"/>
      <c r="D35" s="146"/>
      <c r="E35" s="146"/>
      <c r="F35" s="160"/>
      <c r="G35" s="160"/>
      <c r="H35" s="160"/>
      <c r="I35" s="160"/>
      <c r="J35" s="160"/>
      <c r="K35" s="160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25"/>
      <c r="W35" s="125"/>
      <c r="X35" s="125"/>
      <c r="Y35" s="125"/>
      <c r="Z35" s="125"/>
      <c r="AA35" s="125"/>
      <c r="AB35" s="125"/>
      <c r="AC35" s="154"/>
      <c r="AD35" s="125"/>
      <c r="AE35" s="125"/>
      <c r="AF35" s="125"/>
      <c r="AG35" s="125"/>
      <c r="AH35" s="41"/>
      <c r="AI35" s="42"/>
      <c r="AJ35" s="42"/>
      <c r="AK35" s="42"/>
      <c r="AL35" s="42"/>
      <c r="AM35" s="152"/>
      <c r="AN35" s="42"/>
      <c r="AO35" s="42"/>
      <c r="AP35" s="41"/>
      <c r="AQ35" s="63"/>
      <c r="AT35" s="1"/>
      <c r="AU35" s="1"/>
      <c r="AV35" s="1"/>
      <c r="AW35" s="1"/>
    </row>
    <row r="36" spans="1:49">
      <c r="A36" s="61"/>
      <c r="B36" s="82"/>
      <c r="C36" s="125"/>
      <c r="D36" s="146"/>
      <c r="E36" s="146"/>
      <c r="F36" s="160"/>
      <c r="G36" s="160"/>
      <c r="H36" s="160"/>
      <c r="I36" s="160"/>
      <c r="J36" s="160"/>
      <c r="K36" s="160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25"/>
      <c r="W36" s="125"/>
      <c r="X36" s="125"/>
      <c r="Y36" s="125"/>
      <c r="Z36" s="125"/>
      <c r="AA36" s="125"/>
      <c r="AB36" s="125"/>
      <c r="AC36" s="154"/>
      <c r="AD36" s="125"/>
      <c r="AE36" s="125"/>
      <c r="AF36" s="125"/>
      <c r="AG36" s="125"/>
      <c r="AH36" s="41"/>
      <c r="AI36" s="42"/>
      <c r="AJ36" s="42"/>
      <c r="AK36" s="42"/>
      <c r="AL36" s="42"/>
      <c r="AM36" s="152"/>
      <c r="AN36" s="42"/>
      <c r="AO36" s="42"/>
      <c r="AP36" s="41"/>
      <c r="AQ36" s="63"/>
      <c r="AT36" s="1"/>
      <c r="AV36" s="1"/>
      <c r="AW36" s="1"/>
    </row>
    <row r="37" spans="1:49">
      <c r="A37" s="38"/>
      <c r="B37" s="79"/>
      <c r="C37" s="125"/>
      <c r="D37" s="146"/>
      <c r="E37" s="146"/>
      <c r="F37" s="160"/>
      <c r="G37" s="160"/>
      <c r="H37" s="160"/>
      <c r="I37" s="160"/>
      <c r="J37" s="160"/>
      <c r="K37" s="160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25"/>
      <c r="W37" s="125"/>
      <c r="X37" s="125"/>
      <c r="Y37" s="125"/>
      <c r="Z37" s="125"/>
      <c r="AA37" s="125"/>
      <c r="AB37" s="125"/>
      <c r="AC37" s="154"/>
      <c r="AD37" s="125"/>
      <c r="AE37" s="125"/>
      <c r="AF37" s="125"/>
      <c r="AG37" s="125"/>
      <c r="AH37" s="41"/>
      <c r="AI37" s="42"/>
      <c r="AJ37" s="42"/>
      <c r="AK37" s="42"/>
      <c r="AL37" s="42"/>
      <c r="AM37" s="152"/>
      <c r="AN37" s="42"/>
      <c r="AO37" s="42"/>
      <c r="AP37" s="41"/>
      <c r="AQ37" s="63"/>
      <c r="AT37" s="1"/>
      <c r="AV37" s="1"/>
      <c r="AW37" s="1"/>
    </row>
    <row r="38" spans="1:49">
      <c r="A38" s="61"/>
      <c r="B38" s="79"/>
      <c r="C38" s="125"/>
      <c r="D38" s="146"/>
      <c r="E38" s="146"/>
      <c r="F38" s="160"/>
      <c r="G38" s="160"/>
      <c r="H38" s="160"/>
      <c r="I38" s="160"/>
      <c r="J38" s="160"/>
      <c r="K38" s="160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25"/>
      <c r="W38" s="125"/>
      <c r="X38" s="125"/>
      <c r="Y38" s="125"/>
      <c r="Z38" s="125"/>
      <c r="AA38" s="125"/>
      <c r="AB38" s="125"/>
      <c r="AC38" s="154"/>
      <c r="AD38" s="125"/>
      <c r="AE38" s="125"/>
      <c r="AF38" s="125"/>
      <c r="AG38" s="125"/>
      <c r="AH38" s="41"/>
      <c r="AI38" s="42"/>
      <c r="AJ38" s="42"/>
      <c r="AK38" s="42"/>
      <c r="AL38" s="42"/>
      <c r="AM38" s="152"/>
      <c r="AN38" s="42"/>
      <c r="AO38" s="42"/>
      <c r="AP38" s="41"/>
      <c r="AQ38" s="63"/>
      <c r="AT38" s="1"/>
      <c r="AV38" s="1"/>
      <c r="AW38" s="1"/>
    </row>
    <row r="39" spans="1:49">
      <c r="A39" s="38"/>
      <c r="B39" s="79"/>
      <c r="C39" s="40"/>
      <c r="D39" s="146"/>
      <c r="E39" s="146"/>
      <c r="F39" s="160"/>
      <c r="G39" s="160"/>
      <c r="H39" s="160"/>
      <c r="I39" s="160"/>
      <c r="J39" s="160"/>
      <c r="K39" s="160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25"/>
      <c r="W39" s="125"/>
      <c r="X39" s="125"/>
      <c r="Y39" s="125"/>
      <c r="Z39" s="125"/>
      <c r="AA39" s="125"/>
      <c r="AB39" s="125"/>
      <c r="AC39" s="154"/>
      <c r="AD39" s="125"/>
      <c r="AE39" s="125"/>
      <c r="AF39" s="125"/>
      <c r="AG39" s="125"/>
      <c r="AH39" s="41"/>
      <c r="AI39" s="42"/>
      <c r="AJ39" s="42"/>
      <c r="AK39" s="42"/>
      <c r="AL39" s="42"/>
      <c r="AM39" s="152"/>
      <c r="AN39" s="42"/>
      <c r="AO39" s="42"/>
      <c r="AP39" s="41"/>
      <c r="AQ39" s="63"/>
      <c r="AT39" s="1"/>
      <c r="AV39" s="1"/>
      <c r="AW39" s="1"/>
    </row>
    <row r="40" spans="1:49">
      <c r="A40" s="61"/>
      <c r="B40" s="79"/>
      <c r="C40" s="66"/>
      <c r="D40" s="146"/>
      <c r="E40" s="146"/>
      <c r="F40" s="160"/>
      <c r="G40" s="160"/>
      <c r="H40" s="160"/>
      <c r="I40" s="160"/>
      <c r="J40" s="160"/>
      <c r="K40" s="160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25"/>
      <c r="W40" s="125"/>
      <c r="X40" s="125"/>
      <c r="Y40" s="125"/>
      <c r="Z40" s="125"/>
      <c r="AA40" s="125"/>
      <c r="AB40" s="125"/>
      <c r="AC40" s="154"/>
      <c r="AD40" s="125"/>
      <c r="AE40" s="125"/>
      <c r="AF40" s="125"/>
      <c r="AG40" s="125"/>
      <c r="AH40" s="41"/>
      <c r="AI40" s="42"/>
      <c r="AJ40" s="42"/>
      <c r="AK40" s="42"/>
      <c r="AL40" s="42"/>
      <c r="AM40" s="152"/>
      <c r="AN40" s="42"/>
      <c r="AO40" s="42"/>
      <c r="AP40" s="41"/>
      <c r="AQ40" s="63"/>
      <c r="AT40" s="1"/>
      <c r="AV40" s="1"/>
      <c r="AW40" s="1"/>
    </row>
    <row r="41" spans="1:49">
      <c r="A41" s="38"/>
      <c r="B41" s="79"/>
      <c r="C41" s="40"/>
      <c r="D41" s="146"/>
      <c r="E41" s="146"/>
      <c r="F41" s="160"/>
      <c r="G41" s="160"/>
      <c r="H41" s="160"/>
      <c r="I41" s="160"/>
      <c r="J41" s="160"/>
      <c r="K41" s="160"/>
      <c r="L41" s="161"/>
      <c r="M41" s="161"/>
      <c r="N41" s="161"/>
      <c r="O41" s="161"/>
      <c r="P41" s="161"/>
      <c r="Q41" s="161"/>
      <c r="R41" s="161"/>
      <c r="S41" s="161"/>
      <c r="T41" s="161"/>
      <c r="U41" s="161"/>
      <c r="V41" s="125"/>
      <c r="W41" s="125"/>
      <c r="X41" s="125"/>
      <c r="Y41" s="125"/>
      <c r="Z41" s="125"/>
      <c r="AA41" s="125"/>
      <c r="AB41" s="125"/>
      <c r="AC41" s="154"/>
      <c r="AD41" s="125"/>
      <c r="AE41" s="125"/>
      <c r="AF41" s="125"/>
      <c r="AG41" s="125"/>
      <c r="AH41" s="41"/>
      <c r="AI41" s="42"/>
      <c r="AJ41" s="42"/>
      <c r="AK41" s="42"/>
      <c r="AL41" s="42"/>
      <c r="AM41" s="152"/>
      <c r="AN41" s="42"/>
      <c r="AO41" s="42"/>
      <c r="AP41" s="41"/>
      <c r="AQ41" s="63"/>
      <c r="AT41" s="1"/>
      <c r="AV41" s="1"/>
      <c r="AW41" s="1"/>
    </row>
    <row r="42" spans="1:49">
      <c r="A42" s="61"/>
      <c r="B42" s="79"/>
      <c r="C42" s="73"/>
      <c r="D42" s="146"/>
      <c r="E42" s="146"/>
      <c r="F42" s="160"/>
      <c r="G42" s="160"/>
      <c r="H42" s="160"/>
      <c r="I42" s="160"/>
      <c r="J42" s="160"/>
      <c r="K42" s="160"/>
      <c r="L42" s="161"/>
      <c r="M42" s="161"/>
      <c r="N42" s="161"/>
      <c r="O42" s="161"/>
      <c r="P42" s="161"/>
      <c r="Q42" s="161"/>
      <c r="R42" s="161"/>
      <c r="S42" s="161"/>
      <c r="T42" s="161"/>
      <c r="U42" s="161"/>
      <c r="V42" s="125"/>
      <c r="W42" s="125"/>
      <c r="X42" s="125"/>
      <c r="Y42" s="125"/>
      <c r="Z42" s="125"/>
      <c r="AA42" s="125"/>
      <c r="AB42" s="125"/>
      <c r="AC42" s="154"/>
      <c r="AD42" s="125"/>
      <c r="AE42" s="125"/>
      <c r="AF42" s="125"/>
      <c r="AG42" s="125"/>
      <c r="AH42" s="41"/>
      <c r="AI42" s="42"/>
      <c r="AJ42" s="42"/>
      <c r="AK42" s="42"/>
      <c r="AL42" s="42"/>
      <c r="AM42" s="152"/>
      <c r="AN42" s="42"/>
      <c r="AO42" s="42"/>
      <c r="AP42" s="41"/>
      <c r="AQ42" s="63"/>
      <c r="AT42" s="1"/>
      <c r="AV42" s="1"/>
      <c r="AW42" s="1"/>
    </row>
    <row r="43" spans="1:49">
      <c r="A43" s="38"/>
      <c r="B43" s="79"/>
      <c r="C43" s="75"/>
      <c r="D43" s="146"/>
      <c r="E43" s="146"/>
      <c r="F43" s="160"/>
      <c r="G43" s="160"/>
      <c r="H43" s="160"/>
      <c r="I43" s="160"/>
      <c r="J43" s="160"/>
      <c r="K43" s="160"/>
      <c r="L43" s="161"/>
      <c r="M43" s="161"/>
      <c r="N43" s="161"/>
      <c r="O43" s="161"/>
      <c r="P43" s="161"/>
      <c r="Q43" s="161"/>
      <c r="R43" s="161"/>
      <c r="S43" s="161"/>
      <c r="T43" s="161"/>
      <c r="U43" s="161"/>
      <c r="V43" s="125"/>
      <c r="W43" s="125"/>
      <c r="X43" s="125"/>
      <c r="Y43" s="125"/>
      <c r="Z43" s="125"/>
      <c r="AA43" s="125"/>
      <c r="AB43" s="125"/>
      <c r="AC43" s="154"/>
      <c r="AD43" s="125"/>
      <c r="AE43" s="125"/>
      <c r="AF43" s="125"/>
      <c r="AG43" s="125"/>
      <c r="AH43" s="41"/>
      <c r="AI43" s="42"/>
      <c r="AJ43" s="42"/>
      <c r="AK43" s="42"/>
      <c r="AL43" s="42"/>
      <c r="AM43" s="152"/>
      <c r="AN43" s="42"/>
      <c r="AO43" s="42"/>
      <c r="AP43" s="41"/>
      <c r="AQ43" s="63"/>
      <c r="AT43" s="1"/>
      <c r="AV43" s="1"/>
      <c r="AW43" s="1"/>
    </row>
    <row r="44" spans="1:49">
      <c r="A44" s="61"/>
      <c r="B44" s="79"/>
      <c r="C44" s="40"/>
      <c r="D44" s="146"/>
      <c r="E44" s="146"/>
      <c r="F44" s="160"/>
      <c r="G44" s="160"/>
      <c r="H44" s="160"/>
      <c r="I44" s="160"/>
      <c r="J44" s="160"/>
      <c r="K44" s="160"/>
      <c r="L44" s="161"/>
      <c r="M44" s="161"/>
      <c r="N44" s="161"/>
      <c r="O44" s="161"/>
      <c r="P44" s="161"/>
      <c r="Q44" s="161"/>
      <c r="R44" s="161"/>
      <c r="S44" s="161"/>
      <c r="T44" s="161"/>
      <c r="U44" s="161"/>
      <c r="V44" s="125"/>
      <c r="W44" s="125"/>
      <c r="X44" s="125"/>
      <c r="Y44" s="125"/>
      <c r="Z44" s="125"/>
      <c r="AA44" s="125"/>
      <c r="AB44" s="125"/>
      <c r="AC44" s="154"/>
      <c r="AD44" s="125"/>
      <c r="AE44" s="125"/>
      <c r="AF44" s="125"/>
      <c r="AG44" s="125"/>
      <c r="AH44" s="41"/>
      <c r="AI44" s="42"/>
      <c r="AJ44" s="42"/>
      <c r="AK44" s="42"/>
      <c r="AL44" s="42"/>
      <c r="AM44" s="152"/>
      <c r="AN44" s="42"/>
      <c r="AO44" s="42"/>
      <c r="AP44" s="41"/>
      <c r="AQ44" s="63"/>
      <c r="AT44" s="1"/>
      <c r="AV44" s="1"/>
      <c r="AW44" s="1"/>
    </row>
    <row r="45" spans="1:49">
      <c r="A45" s="38"/>
      <c r="B45" s="79"/>
      <c r="C45" s="40"/>
      <c r="D45" s="146"/>
      <c r="E45" s="146"/>
      <c r="F45" s="160"/>
      <c r="G45" s="160"/>
      <c r="H45" s="160"/>
      <c r="I45" s="160"/>
      <c r="J45" s="160"/>
      <c r="K45" s="160"/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25"/>
      <c r="W45" s="125"/>
      <c r="X45" s="125"/>
      <c r="Y45" s="125"/>
      <c r="Z45" s="125"/>
      <c r="AA45" s="125"/>
      <c r="AB45" s="125"/>
      <c r="AC45" s="154"/>
      <c r="AD45" s="125"/>
      <c r="AE45" s="125"/>
      <c r="AF45" s="125"/>
      <c r="AG45" s="125"/>
      <c r="AH45" s="41"/>
      <c r="AI45" s="42"/>
      <c r="AJ45" s="42"/>
      <c r="AK45" s="42"/>
      <c r="AL45" s="42"/>
      <c r="AM45" s="152"/>
      <c r="AN45" s="42"/>
      <c r="AO45" s="42"/>
      <c r="AP45" s="41"/>
      <c r="AQ45" s="63"/>
      <c r="AT45" s="1"/>
      <c r="AV45" s="1"/>
      <c r="AW45" s="1"/>
    </row>
    <row r="46" spans="1:49">
      <c r="A46" s="61"/>
      <c r="B46" s="79"/>
      <c r="C46" s="71"/>
      <c r="D46" s="146"/>
      <c r="E46" s="146"/>
      <c r="F46" s="160"/>
      <c r="G46" s="160"/>
      <c r="H46" s="160"/>
      <c r="I46" s="160"/>
      <c r="J46" s="160"/>
      <c r="K46" s="160"/>
      <c r="L46" s="161"/>
      <c r="M46" s="161"/>
      <c r="N46" s="161"/>
      <c r="O46" s="161"/>
      <c r="P46" s="161"/>
      <c r="Q46" s="161"/>
      <c r="R46" s="161"/>
      <c r="S46" s="161"/>
      <c r="T46" s="161"/>
      <c r="U46" s="161"/>
      <c r="V46" s="125"/>
      <c r="W46" s="125"/>
      <c r="X46" s="125"/>
      <c r="Y46" s="125"/>
      <c r="Z46" s="125"/>
      <c r="AA46" s="125"/>
      <c r="AB46" s="125"/>
      <c r="AC46" s="154"/>
      <c r="AD46" s="125"/>
      <c r="AE46" s="125"/>
      <c r="AF46" s="125"/>
      <c r="AG46" s="125"/>
      <c r="AH46" s="41"/>
      <c r="AI46" s="42"/>
      <c r="AJ46" s="42"/>
      <c r="AK46" s="42"/>
      <c r="AL46" s="42"/>
      <c r="AM46" s="152"/>
      <c r="AN46" s="42"/>
      <c r="AO46" s="42"/>
      <c r="AP46" s="41"/>
      <c r="AQ46" s="63"/>
      <c r="AT46" s="1"/>
      <c r="AV46" s="1"/>
      <c r="AW46" s="1"/>
    </row>
    <row r="47" spans="1:49">
      <c r="A47" s="38"/>
      <c r="B47" s="88"/>
      <c r="C47" s="40"/>
      <c r="D47" s="146"/>
      <c r="E47" s="146"/>
      <c r="F47" s="160"/>
      <c r="G47" s="160"/>
      <c r="H47" s="160"/>
      <c r="I47" s="160"/>
      <c r="J47" s="160"/>
      <c r="K47" s="160"/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25"/>
      <c r="W47" s="125"/>
      <c r="X47" s="125"/>
      <c r="Y47" s="125"/>
      <c r="Z47" s="125"/>
      <c r="AA47" s="125"/>
      <c r="AB47" s="125"/>
      <c r="AC47" s="154"/>
      <c r="AD47" s="125"/>
      <c r="AE47" s="125"/>
      <c r="AF47" s="125"/>
      <c r="AG47" s="125"/>
      <c r="AH47" s="41"/>
      <c r="AI47" s="42"/>
      <c r="AJ47" s="42"/>
      <c r="AK47" s="42"/>
      <c r="AL47" s="42"/>
      <c r="AM47" s="152"/>
      <c r="AN47" s="42"/>
      <c r="AO47" s="42"/>
      <c r="AP47" s="41"/>
      <c r="AQ47" s="63"/>
      <c r="AT47" s="1"/>
      <c r="AV47" s="1"/>
      <c r="AW47" s="1"/>
    </row>
    <row r="48" spans="1:49">
      <c r="A48" s="61"/>
      <c r="B48" s="88"/>
      <c r="C48" s="125"/>
      <c r="D48" s="146"/>
      <c r="E48" s="146"/>
      <c r="F48" s="160"/>
      <c r="G48" s="160"/>
      <c r="H48" s="160"/>
      <c r="I48" s="160"/>
      <c r="J48" s="160"/>
      <c r="K48" s="160"/>
      <c r="L48" s="161"/>
      <c r="M48" s="161"/>
      <c r="N48" s="161"/>
      <c r="O48" s="161"/>
      <c r="P48" s="161"/>
      <c r="Q48" s="161"/>
      <c r="R48" s="161"/>
      <c r="S48" s="161"/>
      <c r="T48" s="161"/>
      <c r="U48" s="161"/>
      <c r="V48" s="125"/>
      <c r="W48" s="125"/>
      <c r="X48" s="125"/>
      <c r="Y48" s="125"/>
      <c r="Z48" s="125"/>
      <c r="AA48" s="125"/>
      <c r="AB48" s="125"/>
      <c r="AC48" s="154"/>
      <c r="AD48" s="125"/>
      <c r="AE48" s="125"/>
      <c r="AF48" s="125"/>
      <c r="AG48" s="125"/>
      <c r="AH48" s="41"/>
      <c r="AI48" s="42"/>
      <c r="AJ48" s="42"/>
      <c r="AK48" s="42"/>
      <c r="AL48" s="42"/>
      <c r="AM48" s="152"/>
      <c r="AN48" s="42"/>
      <c r="AO48" s="42"/>
      <c r="AP48" s="41"/>
      <c r="AQ48" s="63"/>
      <c r="AT48" s="1"/>
      <c r="AV48" s="1"/>
      <c r="AW48" s="1"/>
    </row>
    <row r="49" spans="1:49">
      <c r="A49" s="38"/>
      <c r="B49" s="88"/>
      <c r="C49" s="73"/>
      <c r="D49" s="146"/>
      <c r="E49" s="146"/>
      <c r="F49" s="160"/>
      <c r="G49" s="160"/>
      <c r="H49" s="160"/>
      <c r="I49" s="160"/>
      <c r="J49" s="160"/>
      <c r="K49" s="160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25"/>
      <c r="W49" s="125"/>
      <c r="X49" s="125"/>
      <c r="Y49" s="125"/>
      <c r="Z49" s="125"/>
      <c r="AA49" s="125"/>
      <c r="AB49" s="125"/>
      <c r="AC49" s="154"/>
      <c r="AD49" s="125"/>
      <c r="AE49" s="125"/>
      <c r="AF49" s="125"/>
      <c r="AG49" s="125"/>
      <c r="AH49" s="41"/>
      <c r="AI49" s="42"/>
      <c r="AJ49" s="42"/>
      <c r="AK49" s="42"/>
      <c r="AL49" s="42"/>
      <c r="AM49" s="152"/>
      <c r="AN49" s="42"/>
      <c r="AO49" s="42"/>
      <c r="AP49" s="41"/>
      <c r="AQ49" s="63"/>
      <c r="AT49" s="1"/>
      <c r="AV49" s="1"/>
      <c r="AW49" s="1"/>
    </row>
    <row r="50" spans="1:49">
      <c r="A50" s="61"/>
      <c r="B50" s="79"/>
      <c r="C50" s="40"/>
      <c r="D50" s="146"/>
      <c r="E50" s="146"/>
      <c r="F50" s="160"/>
      <c r="G50" s="160"/>
      <c r="H50" s="160"/>
      <c r="I50" s="160"/>
      <c r="J50" s="160"/>
      <c r="K50" s="160"/>
      <c r="L50" s="161"/>
      <c r="M50" s="161"/>
      <c r="N50" s="161"/>
      <c r="O50" s="161"/>
      <c r="P50" s="161"/>
      <c r="Q50" s="161"/>
      <c r="R50" s="161"/>
      <c r="S50" s="161"/>
      <c r="T50" s="161"/>
      <c r="U50" s="161"/>
      <c r="V50" s="125"/>
      <c r="W50" s="125"/>
      <c r="X50" s="125"/>
      <c r="Y50" s="125"/>
      <c r="Z50" s="125"/>
      <c r="AA50" s="125"/>
      <c r="AB50" s="125"/>
      <c r="AC50" s="154"/>
      <c r="AD50" s="125"/>
      <c r="AE50" s="125"/>
      <c r="AF50" s="125"/>
      <c r="AG50" s="125"/>
      <c r="AH50" s="41"/>
      <c r="AI50" s="42"/>
      <c r="AJ50" s="42"/>
      <c r="AK50" s="42"/>
      <c r="AL50" s="42"/>
      <c r="AM50" s="152"/>
      <c r="AN50" s="42"/>
      <c r="AO50" s="42"/>
      <c r="AP50" s="41"/>
      <c r="AQ50" s="63"/>
      <c r="AT50" s="1"/>
      <c r="AV50" s="1"/>
      <c r="AW50" s="1"/>
    </row>
    <row r="51" spans="1:49">
      <c r="A51" s="38"/>
      <c r="B51" s="79"/>
      <c r="C51" s="73"/>
      <c r="D51" s="146"/>
      <c r="E51" s="146"/>
      <c r="F51" s="160"/>
      <c r="G51" s="160"/>
      <c r="H51" s="160"/>
      <c r="I51" s="160"/>
      <c r="J51" s="160"/>
      <c r="K51" s="160"/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25"/>
      <c r="W51" s="125"/>
      <c r="X51" s="125"/>
      <c r="Y51" s="125"/>
      <c r="Z51" s="125"/>
      <c r="AA51" s="125"/>
      <c r="AB51" s="125"/>
      <c r="AC51" s="154"/>
      <c r="AD51" s="125"/>
      <c r="AE51" s="125"/>
      <c r="AF51" s="125"/>
      <c r="AG51" s="125"/>
      <c r="AH51" s="41"/>
      <c r="AI51" s="42"/>
      <c r="AJ51" s="42"/>
      <c r="AK51" s="42"/>
      <c r="AL51" s="42"/>
      <c r="AM51" s="152"/>
      <c r="AN51" s="42"/>
      <c r="AO51" s="42"/>
      <c r="AP51" s="41"/>
      <c r="AQ51" s="63"/>
      <c r="AT51" s="1"/>
      <c r="AV51" s="1"/>
      <c r="AW51" s="1"/>
    </row>
    <row r="52" spans="1:49">
      <c r="A52" s="61"/>
      <c r="B52" s="79"/>
      <c r="C52" s="73"/>
      <c r="D52" s="146"/>
      <c r="E52" s="146"/>
      <c r="F52" s="160"/>
      <c r="G52" s="160"/>
      <c r="H52" s="160"/>
      <c r="I52" s="160"/>
      <c r="J52" s="160"/>
      <c r="K52" s="160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25"/>
      <c r="W52" s="125"/>
      <c r="X52" s="125"/>
      <c r="Y52" s="125"/>
      <c r="Z52" s="125"/>
      <c r="AA52" s="125"/>
      <c r="AB52" s="125"/>
      <c r="AC52" s="154"/>
      <c r="AD52" s="125"/>
      <c r="AE52" s="125"/>
      <c r="AF52" s="125"/>
      <c r="AG52" s="125"/>
      <c r="AH52" s="41"/>
      <c r="AI52" s="42"/>
      <c r="AJ52" s="42"/>
      <c r="AK52" s="42"/>
      <c r="AL52" s="42"/>
      <c r="AM52" s="152"/>
      <c r="AN52" s="42"/>
      <c r="AO52" s="42"/>
      <c r="AP52" s="41"/>
      <c r="AQ52" s="63"/>
      <c r="AT52" s="1"/>
      <c r="AV52" s="1"/>
      <c r="AW52" s="1"/>
    </row>
    <row r="53" spans="1:49">
      <c r="A53" s="38"/>
      <c r="B53" s="79"/>
      <c r="C53" s="73"/>
      <c r="D53" s="146"/>
      <c r="E53" s="146"/>
      <c r="F53" s="160"/>
      <c r="G53" s="160"/>
      <c r="H53" s="160"/>
      <c r="I53" s="160"/>
      <c r="J53" s="160"/>
      <c r="K53" s="160"/>
      <c r="L53" s="161"/>
      <c r="M53" s="161"/>
      <c r="N53" s="161"/>
      <c r="O53" s="161"/>
      <c r="P53" s="161"/>
      <c r="Q53" s="161"/>
      <c r="R53" s="161"/>
      <c r="S53" s="161"/>
      <c r="T53" s="161"/>
      <c r="U53" s="161"/>
      <c r="V53" s="125"/>
      <c r="W53" s="125"/>
      <c r="X53" s="125"/>
      <c r="Y53" s="125"/>
      <c r="Z53" s="125"/>
      <c r="AA53" s="125"/>
      <c r="AB53" s="125"/>
      <c r="AC53" s="154"/>
      <c r="AD53" s="125"/>
      <c r="AE53" s="125"/>
      <c r="AF53" s="125"/>
      <c r="AG53" s="125"/>
      <c r="AH53" s="41"/>
      <c r="AI53" s="42"/>
      <c r="AJ53" s="42"/>
      <c r="AK53" s="42"/>
      <c r="AL53" s="42"/>
      <c r="AM53" s="152"/>
      <c r="AN53" s="42"/>
      <c r="AO53" s="42"/>
      <c r="AP53" s="41"/>
      <c r="AQ53" s="63"/>
      <c r="AT53" s="1"/>
      <c r="AV53" s="1"/>
      <c r="AW53" s="1"/>
    </row>
    <row r="54" spans="1:49">
      <c r="A54" s="61"/>
      <c r="B54" s="79"/>
      <c r="C54" s="73"/>
      <c r="D54" s="146"/>
      <c r="E54" s="146"/>
      <c r="F54" s="160"/>
      <c r="G54" s="160"/>
      <c r="H54" s="160"/>
      <c r="I54" s="160"/>
      <c r="J54" s="160"/>
      <c r="K54" s="160"/>
      <c r="L54" s="161"/>
      <c r="M54" s="161"/>
      <c r="N54" s="161"/>
      <c r="O54" s="161"/>
      <c r="P54" s="161"/>
      <c r="Q54" s="161"/>
      <c r="R54" s="161"/>
      <c r="S54" s="161"/>
      <c r="T54" s="161"/>
      <c r="U54" s="161"/>
      <c r="V54" s="125"/>
      <c r="W54" s="125"/>
      <c r="X54" s="125"/>
      <c r="Y54" s="125"/>
      <c r="Z54" s="125"/>
      <c r="AA54" s="125"/>
      <c r="AB54" s="125"/>
      <c r="AC54" s="154"/>
      <c r="AD54" s="125"/>
      <c r="AE54" s="125"/>
      <c r="AF54" s="125"/>
      <c r="AG54" s="125"/>
      <c r="AH54" s="41"/>
      <c r="AI54" s="42"/>
      <c r="AJ54" s="42"/>
      <c r="AK54" s="42"/>
      <c r="AL54" s="42"/>
      <c r="AM54" s="152"/>
      <c r="AN54" s="42"/>
      <c r="AO54" s="42"/>
      <c r="AP54" s="41"/>
      <c r="AQ54" s="63"/>
      <c r="AT54" s="1"/>
      <c r="AV54" s="1"/>
      <c r="AW54" s="1"/>
    </row>
    <row r="55" spans="1:49">
      <c r="A55" s="92"/>
      <c r="B55" s="93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G55" s="94"/>
      <c r="AH55" s="95"/>
      <c r="AI55" s="96"/>
      <c r="AJ55" s="97"/>
      <c r="AK55" s="97"/>
      <c r="AL55" s="97"/>
      <c r="AM55" s="97"/>
      <c r="AN55" s="97"/>
      <c r="AO55" s="97"/>
      <c r="AP55" s="95"/>
      <c r="AQ55" s="99"/>
    </row>
    <row r="58" spans="1:49">
      <c r="AO58" s="3"/>
      <c r="AQ58" s="2"/>
    </row>
    <row r="59" spans="1:49">
      <c r="AO59" s="3"/>
      <c r="AQ59" s="2"/>
    </row>
    <row r="60" spans="1:49">
      <c r="AO60" s="3"/>
      <c r="AQ60" s="2"/>
    </row>
    <row r="61" spans="1:49">
      <c r="AO61" s="3"/>
      <c r="AQ61" s="2"/>
    </row>
    <row r="62" spans="1:49">
      <c r="AO62" s="3"/>
      <c r="AQ62" s="2"/>
    </row>
    <row r="63" spans="1:49">
      <c r="AO63" s="3"/>
      <c r="AQ63" s="2"/>
    </row>
    <row r="64" spans="1:49">
      <c r="AO64" s="3"/>
      <c r="AQ64" s="2"/>
    </row>
    <row r="65" spans="41:43">
      <c r="AO65" s="3"/>
      <c r="AQ65" s="2"/>
    </row>
    <row r="66" spans="41:43">
      <c r="AO66" s="3"/>
      <c r="AQ66" s="2"/>
    </row>
    <row r="67" spans="41:43">
      <c r="AO67" s="3"/>
      <c r="AQ67" s="2"/>
    </row>
  </sheetData>
  <mergeCells count="11">
    <mergeCell ref="D5:E5"/>
    <mergeCell ref="AN5:AQ5"/>
    <mergeCell ref="A4:AB4"/>
    <mergeCell ref="Y5:AG5"/>
    <mergeCell ref="A5:A6"/>
    <mergeCell ref="B5:B6"/>
    <mergeCell ref="C5:C6"/>
    <mergeCell ref="AH5:AL5"/>
    <mergeCell ref="AM5:AM6"/>
    <mergeCell ref="F5:M5"/>
    <mergeCell ref="N5:U5"/>
  </mergeCells>
  <phoneticPr fontId="37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C616E-BB30-47EA-95DB-D0EDEF866C82}">
  <dimension ref="A2:AU104"/>
  <sheetViews>
    <sheetView zoomScale="115" zoomScaleNormal="115" workbookViewId="0">
      <pane xSplit="3" ySplit="6" topLeftCell="D49" activePane="bottomRight" state="frozen"/>
      <selection activeCell="B1" sqref="B1"/>
      <selection pane="topRight" activeCell="D1" sqref="D1"/>
      <selection pane="bottomLeft" activeCell="B7" sqref="B7"/>
      <selection pane="bottomRight" activeCell="H17" sqref="H17"/>
    </sheetView>
  </sheetViews>
  <sheetFormatPr baseColWidth="10" defaultColWidth="11.44140625" defaultRowHeight="13.8"/>
  <cols>
    <col min="1" max="1" width="4.33203125" style="206" customWidth="1"/>
    <col min="2" max="2" width="9.33203125" style="206" bestFit="1" customWidth="1"/>
    <col min="3" max="3" width="38.109375" style="206" customWidth="1"/>
    <col min="4" max="34" width="11.77734375" style="206" customWidth="1"/>
    <col min="35" max="35" width="14.5546875" style="222" customWidth="1"/>
    <col min="36" max="16384" width="11.44140625" style="206"/>
  </cols>
  <sheetData>
    <row r="2" spans="1:35" ht="12.9" customHeight="1">
      <c r="A2" s="205" t="s">
        <v>49</v>
      </c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  <c r="X2" s="205"/>
      <c r="Y2" s="205"/>
      <c r="Z2" s="205"/>
      <c r="AA2" s="205"/>
      <c r="AB2" s="205"/>
      <c r="AC2" s="205"/>
      <c r="AD2" s="205"/>
      <c r="AE2" s="205"/>
      <c r="AF2" s="205"/>
      <c r="AG2" s="205"/>
      <c r="AH2" s="205"/>
      <c r="AI2" s="205"/>
    </row>
    <row r="3" spans="1:35" ht="12.9" customHeight="1">
      <c r="A3" s="205"/>
      <c r="B3" s="205"/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</row>
    <row r="4" spans="1:35" s="230" customFormat="1" ht="21.75" customHeight="1">
      <c r="A4" s="228"/>
      <c r="B4" s="228"/>
      <c r="C4" s="228" t="s">
        <v>118</v>
      </c>
      <c r="D4" s="228">
        <f t="shared" ref="D4:U4" si="0">COUNTIF(D7:D52,"&gt;7")</f>
        <v>0</v>
      </c>
      <c r="E4" s="228">
        <f t="shared" si="0"/>
        <v>0</v>
      </c>
      <c r="F4" s="228">
        <f t="shared" si="0"/>
        <v>0</v>
      </c>
      <c r="G4" s="228">
        <f t="shared" si="0"/>
        <v>0</v>
      </c>
      <c r="H4" s="228">
        <f t="shared" si="0"/>
        <v>0</v>
      </c>
      <c r="I4" s="228">
        <f t="shared" si="0"/>
        <v>0</v>
      </c>
      <c r="J4" s="228">
        <f t="shared" si="0"/>
        <v>0</v>
      </c>
      <c r="K4" s="228">
        <f t="shared" si="0"/>
        <v>0</v>
      </c>
      <c r="L4" s="228">
        <f t="shared" si="0"/>
        <v>0</v>
      </c>
      <c r="M4" s="228">
        <f t="shared" si="0"/>
        <v>0</v>
      </c>
      <c r="N4" s="228">
        <f t="shared" si="0"/>
        <v>0</v>
      </c>
      <c r="O4" s="228">
        <f t="shared" si="0"/>
        <v>0</v>
      </c>
      <c r="P4" s="228">
        <f t="shared" si="0"/>
        <v>0</v>
      </c>
      <c r="Q4" s="228">
        <f t="shared" si="0"/>
        <v>0</v>
      </c>
      <c r="R4" s="228">
        <f t="shared" si="0"/>
        <v>0</v>
      </c>
      <c r="S4" s="228">
        <f t="shared" si="0"/>
        <v>0</v>
      </c>
      <c r="T4" s="228">
        <f t="shared" si="0"/>
        <v>0</v>
      </c>
      <c r="U4" s="228">
        <f t="shared" si="0"/>
        <v>0</v>
      </c>
      <c r="V4" s="228">
        <f>COUNTIF(V7:V52,"&gt;=6")</f>
        <v>0</v>
      </c>
      <c r="W4" s="228">
        <f t="shared" ref="W4:AG4" si="1">COUNTIF(W7:W52,"&gt;7")</f>
        <v>0</v>
      </c>
      <c r="X4" s="228">
        <f t="shared" si="1"/>
        <v>0</v>
      </c>
      <c r="Y4" s="228">
        <f t="shared" si="1"/>
        <v>0</v>
      </c>
      <c r="Z4" s="228">
        <f t="shared" si="1"/>
        <v>0</v>
      </c>
      <c r="AA4" s="228">
        <f t="shared" si="1"/>
        <v>0</v>
      </c>
      <c r="AB4" s="228">
        <f t="shared" si="1"/>
        <v>0</v>
      </c>
      <c r="AC4" s="228">
        <f t="shared" si="1"/>
        <v>0</v>
      </c>
      <c r="AD4" s="228">
        <f t="shared" si="1"/>
        <v>0</v>
      </c>
      <c r="AE4" s="228">
        <f t="shared" si="1"/>
        <v>0</v>
      </c>
      <c r="AF4" s="228"/>
      <c r="AG4" s="228">
        <f t="shared" si="1"/>
        <v>0</v>
      </c>
      <c r="AH4" s="228"/>
      <c r="AI4" s="229">
        <f>MAX(AI7:AI54)</f>
        <v>0</v>
      </c>
    </row>
    <row r="5" spans="1:35" s="231" customFormat="1" ht="12.75" customHeight="1">
      <c r="A5" s="232" t="s">
        <v>6</v>
      </c>
      <c r="B5" s="233" t="s">
        <v>50</v>
      </c>
      <c r="C5" s="232" t="s">
        <v>7</v>
      </c>
      <c r="D5" s="234"/>
      <c r="E5" s="235"/>
      <c r="F5" s="235"/>
      <c r="G5" s="234"/>
      <c r="H5" s="235"/>
      <c r="I5" s="235"/>
      <c r="J5" s="235"/>
      <c r="K5" s="235"/>
      <c r="L5" s="235"/>
      <c r="M5" s="235"/>
      <c r="N5" s="234"/>
      <c r="O5" s="235"/>
      <c r="P5" s="235"/>
      <c r="Q5" s="235"/>
      <c r="R5" s="235"/>
      <c r="S5" s="235"/>
      <c r="T5" s="235"/>
      <c r="U5" s="234"/>
      <c r="V5" s="235"/>
      <c r="W5" s="235"/>
      <c r="X5" s="235"/>
      <c r="Y5" s="235"/>
      <c r="Z5" s="235"/>
      <c r="AA5" s="235"/>
      <c r="AB5" s="234"/>
      <c r="AC5" s="235"/>
      <c r="AD5" s="235"/>
      <c r="AE5" s="235"/>
      <c r="AF5" s="235"/>
      <c r="AG5" s="235"/>
      <c r="AH5" s="235"/>
      <c r="AI5" s="235" t="s">
        <v>51</v>
      </c>
    </row>
    <row r="6" spans="1:35" s="231" customFormat="1">
      <c r="A6" s="232"/>
      <c r="B6" s="233"/>
      <c r="C6" s="232"/>
      <c r="D6" s="234"/>
      <c r="E6" s="235"/>
      <c r="F6" s="235"/>
      <c r="G6" s="234"/>
      <c r="H6" s="235"/>
      <c r="I6" s="235"/>
      <c r="J6" s="235"/>
      <c r="K6" s="235"/>
      <c r="L6" s="235"/>
      <c r="M6" s="235"/>
      <c r="N6" s="234"/>
      <c r="O6" s="235"/>
      <c r="P6" s="235"/>
      <c r="Q6" s="235"/>
      <c r="R6" s="235"/>
      <c r="S6" s="235"/>
      <c r="T6" s="235"/>
      <c r="U6" s="234"/>
      <c r="V6" s="235"/>
      <c r="W6" s="235"/>
      <c r="X6" s="235"/>
      <c r="Y6" s="235"/>
      <c r="Z6" s="235"/>
      <c r="AA6" s="235"/>
      <c r="AB6" s="234"/>
      <c r="AC6" s="235"/>
      <c r="AD6" s="235"/>
      <c r="AE6" s="235"/>
      <c r="AF6" s="235"/>
      <c r="AG6" s="235"/>
      <c r="AH6" s="235"/>
      <c r="AI6" s="235" t="s">
        <v>52</v>
      </c>
    </row>
    <row r="7" spans="1:35" s="207" customFormat="1" ht="12.9" customHeight="1">
      <c r="A7" s="208">
        <v>1</v>
      </c>
      <c r="B7" s="209"/>
      <c r="C7" s="210"/>
      <c r="D7" s="211"/>
      <c r="AB7" s="211"/>
      <c r="AI7" s="212">
        <f t="shared" ref="AI7:AI54" si="2">SUM(D7:AH7)</f>
        <v>0</v>
      </c>
    </row>
    <row r="8" spans="1:35" s="207" customFormat="1" ht="12.9" customHeight="1">
      <c r="A8" s="208">
        <v>2</v>
      </c>
      <c r="B8" s="209"/>
      <c r="C8" s="210"/>
      <c r="D8" s="211"/>
      <c r="V8" s="211"/>
      <c r="W8" s="211"/>
      <c r="AB8" s="211"/>
      <c r="AI8" s="212">
        <f t="shared" si="2"/>
        <v>0</v>
      </c>
    </row>
    <row r="9" spans="1:35" s="207" customFormat="1" ht="12.9" customHeight="1">
      <c r="A9" s="208">
        <v>3</v>
      </c>
      <c r="B9" s="209"/>
      <c r="C9" s="210"/>
      <c r="D9" s="211"/>
      <c r="AB9" s="211"/>
      <c r="AI9" s="212">
        <f t="shared" si="2"/>
        <v>0</v>
      </c>
    </row>
    <row r="10" spans="1:35" s="207" customFormat="1" ht="12.9" customHeight="1">
      <c r="A10" s="208">
        <v>4</v>
      </c>
      <c r="B10" s="209"/>
      <c r="C10" s="210"/>
      <c r="D10" s="211"/>
      <c r="H10" s="211"/>
      <c r="I10" s="211"/>
      <c r="J10" s="211"/>
      <c r="AB10" s="211"/>
      <c r="AI10" s="212">
        <f t="shared" si="2"/>
        <v>0</v>
      </c>
    </row>
    <row r="11" spans="1:35" s="207" customFormat="1" ht="12.9" customHeight="1">
      <c r="A11" s="208">
        <v>5</v>
      </c>
      <c r="B11" s="209"/>
      <c r="C11" s="210"/>
      <c r="D11" s="211"/>
      <c r="G11" s="211"/>
      <c r="J11" s="213"/>
      <c r="Q11" s="213"/>
      <c r="X11" s="211"/>
      <c r="AB11" s="211"/>
      <c r="AC11" s="211"/>
      <c r="AD11" s="211"/>
      <c r="AI11" s="212">
        <f t="shared" si="2"/>
        <v>0</v>
      </c>
    </row>
    <row r="12" spans="1:35" s="207" customFormat="1" ht="12" customHeight="1">
      <c r="A12" s="208">
        <v>6</v>
      </c>
      <c r="B12" s="209"/>
      <c r="C12" s="210"/>
      <c r="D12" s="211"/>
      <c r="H12" s="211"/>
      <c r="I12" s="211"/>
      <c r="J12" s="211"/>
      <c r="K12" s="211"/>
      <c r="O12" s="211"/>
      <c r="P12" s="211"/>
      <c r="Q12" s="211"/>
      <c r="R12" s="211"/>
      <c r="S12" s="211"/>
      <c r="T12" s="211"/>
      <c r="AB12" s="211"/>
      <c r="AI12" s="212">
        <f t="shared" si="2"/>
        <v>0</v>
      </c>
    </row>
    <row r="13" spans="1:35" s="207" customFormat="1" ht="12.75" customHeight="1">
      <c r="A13" s="208">
        <v>7</v>
      </c>
      <c r="B13" s="209"/>
      <c r="C13" s="210"/>
      <c r="D13" s="211"/>
      <c r="Z13" s="214"/>
      <c r="AA13" s="214"/>
      <c r="AB13" s="211"/>
      <c r="AC13" s="214"/>
      <c r="AD13" s="214"/>
      <c r="AI13" s="212">
        <f t="shared" si="2"/>
        <v>0</v>
      </c>
    </row>
    <row r="14" spans="1:35" s="207" customFormat="1" ht="14.25" customHeight="1">
      <c r="A14" s="208">
        <v>8</v>
      </c>
      <c r="B14" s="209"/>
      <c r="C14" s="210"/>
      <c r="D14" s="211"/>
      <c r="AB14" s="211"/>
      <c r="AI14" s="212">
        <f t="shared" si="2"/>
        <v>0</v>
      </c>
    </row>
    <row r="15" spans="1:35" s="207" customFormat="1" ht="12.9" customHeight="1">
      <c r="A15" s="208">
        <v>9</v>
      </c>
      <c r="B15" s="209"/>
      <c r="C15" s="210"/>
      <c r="D15" s="211"/>
      <c r="N15" s="211"/>
      <c r="U15" s="211"/>
      <c r="AB15" s="211"/>
      <c r="AD15" s="211"/>
      <c r="AI15" s="212">
        <f t="shared" si="2"/>
        <v>0</v>
      </c>
    </row>
    <row r="16" spans="1:35" s="207" customFormat="1" ht="12.9" customHeight="1">
      <c r="A16" s="208">
        <v>10</v>
      </c>
      <c r="B16" s="209"/>
      <c r="C16" s="210"/>
      <c r="D16" s="211"/>
      <c r="L16" s="211"/>
      <c r="M16" s="211"/>
      <c r="AB16" s="211"/>
      <c r="AI16" s="212">
        <f t="shared" si="2"/>
        <v>0</v>
      </c>
    </row>
    <row r="17" spans="1:35" s="207" customFormat="1" ht="12.9" customHeight="1">
      <c r="A17" s="208">
        <v>11</v>
      </c>
      <c r="B17" s="209"/>
      <c r="C17" s="210"/>
      <c r="D17" s="211"/>
      <c r="AB17" s="211"/>
      <c r="AI17" s="212">
        <f t="shared" si="2"/>
        <v>0</v>
      </c>
    </row>
    <row r="18" spans="1:35" s="207" customFormat="1" ht="12.9" customHeight="1">
      <c r="A18" s="208">
        <v>12</v>
      </c>
      <c r="B18" s="209"/>
      <c r="C18" s="210"/>
      <c r="D18" s="211"/>
      <c r="V18" s="214"/>
      <c r="W18" s="214"/>
      <c r="X18" s="214"/>
      <c r="Y18" s="214"/>
      <c r="Z18" s="214"/>
      <c r="AA18" s="214"/>
      <c r="AB18" s="211"/>
      <c r="AC18" s="214"/>
      <c r="AD18" s="214"/>
      <c r="AE18" s="214"/>
      <c r="AF18" s="214"/>
      <c r="AG18" s="214"/>
      <c r="AH18" s="214"/>
      <c r="AI18" s="212">
        <f t="shared" si="2"/>
        <v>0</v>
      </c>
    </row>
    <row r="19" spans="1:35" s="207" customFormat="1" ht="12.9" customHeight="1">
      <c r="A19" s="208">
        <v>13</v>
      </c>
      <c r="B19" s="209"/>
      <c r="C19" s="210"/>
      <c r="D19" s="211"/>
      <c r="AB19" s="211"/>
      <c r="AE19" s="211"/>
      <c r="AI19" s="212">
        <f t="shared" si="2"/>
        <v>0</v>
      </c>
    </row>
    <row r="20" spans="1:35" s="207" customFormat="1" ht="12.9" customHeight="1">
      <c r="A20" s="208">
        <v>14</v>
      </c>
      <c r="B20" s="209"/>
      <c r="C20" s="210"/>
      <c r="D20" s="211"/>
      <c r="AB20" s="211"/>
      <c r="AI20" s="212">
        <f t="shared" si="2"/>
        <v>0</v>
      </c>
    </row>
    <row r="21" spans="1:35" s="207" customFormat="1" ht="12.9" customHeight="1">
      <c r="A21" s="208">
        <v>15</v>
      </c>
      <c r="B21" s="209"/>
      <c r="C21" s="210"/>
      <c r="D21" s="211"/>
      <c r="K21" s="211"/>
      <c r="L21" s="211"/>
      <c r="M21" s="213"/>
      <c r="W21" s="211"/>
      <c r="AB21" s="211"/>
      <c r="AI21" s="212">
        <f t="shared" si="2"/>
        <v>0</v>
      </c>
    </row>
    <row r="22" spans="1:35" s="207" customFormat="1" ht="12.9" customHeight="1">
      <c r="A22" s="208">
        <v>16</v>
      </c>
      <c r="B22" s="209"/>
      <c r="C22" s="210"/>
      <c r="D22" s="211"/>
      <c r="J22" s="213"/>
      <c r="U22" s="213"/>
      <c r="AB22" s="211"/>
      <c r="AI22" s="212">
        <f t="shared" si="2"/>
        <v>0</v>
      </c>
    </row>
    <row r="23" spans="1:35" s="207" customFormat="1" ht="12.9" customHeight="1">
      <c r="A23" s="208">
        <v>17</v>
      </c>
      <c r="B23" s="209"/>
      <c r="C23" s="210"/>
      <c r="D23" s="211"/>
      <c r="E23" s="211"/>
      <c r="F23" s="211"/>
      <c r="H23" s="211"/>
      <c r="I23" s="211"/>
      <c r="J23" s="211"/>
      <c r="K23" s="211"/>
      <c r="L23" s="211"/>
      <c r="M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1"/>
      <c r="AB23" s="211"/>
      <c r="AC23" s="211"/>
      <c r="AD23" s="211"/>
      <c r="AE23" s="211"/>
      <c r="AF23" s="211"/>
      <c r="AG23" s="211"/>
      <c r="AH23" s="211"/>
      <c r="AI23" s="212">
        <f t="shared" si="2"/>
        <v>0</v>
      </c>
    </row>
    <row r="24" spans="1:35" s="207" customFormat="1" ht="12.9" customHeight="1">
      <c r="A24" s="208">
        <v>18</v>
      </c>
      <c r="B24" s="215"/>
      <c r="C24" s="210"/>
      <c r="D24" s="211"/>
      <c r="AB24" s="211"/>
      <c r="AI24" s="212">
        <f t="shared" si="2"/>
        <v>0</v>
      </c>
    </row>
    <row r="25" spans="1:35" s="207" customFormat="1" ht="12.9" customHeight="1">
      <c r="A25" s="208">
        <v>19</v>
      </c>
      <c r="B25" s="215"/>
      <c r="C25" s="210"/>
      <c r="D25" s="211"/>
      <c r="AB25" s="211"/>
      <c r="AI25" s="212">
        <f t="shared" si="2"/>
        <v>0</v>
      </c>
    </row>
    <row r="26" spans="1:35" s="207" customFormat="1" ht="12.9" customHeight="1">
      <c r="A26" s="208">
        <v>20</v>
      </c>
      <c r="B26" s="215"/>
      <c r="C26" s="210"/>
      <c r="D26" s="211"/>
      <c r="G26" s="211"/>
      <c r="N26" s="211"/>
      <c r="AB26" s="211"/>
      <c r="AI26" s="212">
        <f t="shared" si="2"/>
        <v>0</v>
      </c>
    </row>
    <row r="27" spans="1:35" s="207" customFormat="1" ht="12.9" customHeight="1">
      <c r="A27" s="208">
        <v>21</v>
      </c>
      <c r="B27" s="215"/>
      <c r="C27" s="210"/>
      <c r="D27" s="211"/>
      <c r="G27" s="211"/>
      <c r="AB27" s="211"/>
      <c r="AI27" s="212">
        <f t="shared" si="2"/>
        <v>0</v>
      </c>
    </row>
    <row r="28" spans="1:35" s="207" customFormat="1" ht="12.9" customHeight="1">
      <c r="A28" s="208">
        <v>22</v>
      </c>
      <c r="B28" s="215"/>
      <c r="C28" s="210"/>
      <c r="D28" s="211"/>
      <c r="AB28" s="211"/>
      <c r="AI28" s="212">
        <f t="shared" si="2"/>
        <v>0</v>
      </c>
    </row>
    <row r="29" spans="1:35" s="207" customFormat="1" ht="12.9" customHeight="1">
      <c r="A29" s="208">
        <v>23</v>
      </c>
      <c r="B29" s="215"/>
      <c r="C29" s="210"/>
      <c r="D29" s="211"/>
      <c r="U29" s="211"/>
      <c r="AB29" s="211"/>
      <c r="AI29" s="212">
        <f t="shared" si="2"/>
        <v>0</v>
      </c>
    </row>
    <row r="30" spans="1:35" s="207" customFormat="1" ht="12.9" customHeight="1">
      <c r="A30" s="208">
        <v>24</v>
      </c>
      <c r="B30" s="215"/>
      <c r="C30" s="210"/>
      <c r="D30" s="211"/>
      <c r="AB30" s="211"/>
      <c r="AI30" s="212">
        <f t="shared" si="2"/>
        <v>0</v>
      </c>
    </row>
    <row r="31" spans="1:35" s="207" customFormat="1" ht="12.9" customHeight="1">
      <c r="A31" s="208">
        <v>25</v>
      </c>
      <c r="B31" s="215"/>
      <c r="C31" s="210"/>
      <c r="D31" s="211"/>
      <c r="AB31" s="211"/>
      <c r="AI31" s="212">
        <f t="shared" si="2"/>
        <v>0</v>
      </c>
    </row>
    <row r="32" spans="1:35" s="207" customFormat="1" ht="12.9" customHeight="1">
      <c r="A32" s="208">
        <v>26</v>
      </c>
      <c r="B32" s="215"/>
      <c r="C32" s="210"/>
      <c r="D32" s="211"/>
      <c r="N32" s="211"/>
      <c r="AB32" s="211"/>
      <c r="AC32" s="211"/>
      <c r="AD32" s="211"/>
      <c r="AI32" s="212">
        <f t="shared" si="2"/>
        <v>0</v>
      </c>
    </row>
    <row r="33" spans="1:35" s="207" customFormat="1" ht="12.9" customHeight="1">
      <c r="A33" s="208">
        <v>27</v>
      </c>
      <c r="B33" s="215"/>
      <c r="C33" s="210"/>
      <c r="D33" s="211"/>
      <c r="AB33" s="211"/>
      <c r="AI33" s="212">
        <f t="shared" si="2"/>
        <v>0</v>
      </c>
    </row>
    <row r="34" spans="1:35" s="207" customFormat="1" ht="12.75" customHeight="1">
      <c r="A34" s="208">
        <v>28</v>
      </c>
      <c r="B34" s="215"/>
      <c r="C34" s="210"/>
      <c r="D34" s="214"/>
      <c r="E34" s="214"/>
      <c r="F34" s="214"/>
      <c r="G34" s="214"/>
      <c r="H34" s="214"/>
      <c r="I34" s="214"/>
      <c r="J34" s="214"/>
      <c r="K34" s="214"/>
      <c r="L34" s="214"/>
      <c r="M34" s="214"/>
      <c r="N34" s="214"/>
      <c r="O34" s="214"/>
      <c r="P34" s="214"/>
      <c r="Q34" s="214"/>
      <c r="R34" s="214"/>
      <c r="S34" s="214"/>
      <c r="T34" s="214"/>
      <c r="U34" s="214"/>
      <c r="V34" s="214"/>
      <c r="W34" s="214"/>
      <c r="X34" s="214"/>
      <c r="Y34" s="214"/>
      <c r="Z34" s="214"/>
      <c r="AA34" s="214"/>
      <c r="AB34" s="214"/>
      <c r="AC34" s="214"/>
      <c r="AD34" s="214"/>
      <c r="AE34" s="214"/>
      <c r="AF34" s="214"/>
      <c r="AG34" s="214"/>
      <c r="AH34" s="214"/>
      <c r="AI34" s="212">
        <f t="shared" si="2"/>
        <v>0</v>
      </c>
    </row>
    <row r="35" spans="1:35" s="207" customFormat="1" ht="12.9" customHeight="1">
      <c r="A35" s="208">
        <v>29</v>
      </c>
      <c r="B35" s="215"/>
      <c r="C35" s="210"/>
      <c r="D35" s="211"/>
      <c r="AB35" s="211"/>
      <c r="AI35" s="212">
        <f t="shared" si="2"/>
        <v>0</v>
      </c>
    </row>
    <row r="36" spans="1:35" s="207" customFormat="1" ht="12.75" customHeight="1">
      <c r="A36" s="208">
        <v>30</v>
      </c>
      <c r="B36" s="215"/>
      <c r="C36" s="210"/>
      <c r="D36" s="211"/>
      <c r="X36" s="213"/>
      <c r="Y36" s="214"/>
      <c r="AB36" s="211"/>
      <c r="AI36" s="212">
        <f t="shared" si="2"/>
        <v>0</v>
      </c>
    </row>
    <row r="37" spans="1:35" s="207" customFormat="1" ht="12.9" customHeight="1">
      <c r="A37" s="208">
        <v>31</v>
      </c>
      <c r="B37" s="215"/>
      <c r="C37" s="210"/>
      <c r="D37" s="211"/>
      <c r="AB37" s="211"/>
      <c r="AI37" s="212">
        <f t="shared" si="2"/>
        <v>0</v>
      </c>
    </row>
    <row r="38" spans="1:35" s="207" customFormat="1" ht="12.9" customHeight="1">
      <c r="A38" s="208">
        <v>32</v>
      </c>
      <c r="B38" s="215"/>
      <c r="C38" s="210"/>
      <c r="D38" s="211"/>
      <c r="AB38" s="211"/>
      <c r="AI38" s="212">
        <f t="shared" si="2"/>
        <v>0</v>
      </c>
    </row>
    <row r="39" spans="1:35" s="207" customFormat="1" ht="12.9" customHeight="1">
      <c r="A39" s="208">
        <v>33</v>
      </c>
      <c r="B39" s="209"/>
      <c r="C39" s="210"/>
      <c r="D39" s="211"/>
      <c r="U39" s="211"/>
      <c r="AB39" s="211"/>
      <c r="AI39" s="212">
        <f t="shared" si="2"/>
        <v>0</v>
      </c>
    </row>
    <row r="40" spans="1:35" s="207" customFormat="1" ht="12.9" customHeight="1">
      <c r="A40" s="208">
        <v>34</v>
      </c>
      <c r="B40" s="215"/>
      <c r="C40" s="210"/>
      <c r="D40" s="211"/>
      <c r="E40" s="211"/>
      <c r="F40" s="211"/>
      <c r="H40" s="211"/>
      <c r="I40" s="211"/>
      <c r="J40" s="211"/>
      <c r="K40" s="211"/>
      <c r="L40" s="211"/>
      <c r="M40" s="211"/>
      <c r="O40" s="211"/>
      <c r="P40" s="211"/>
      <c r="Q40" s="211"/>
      <c r="R40" s="211"/>
      <c r="S40" s="211"/>
      <c r="T40" s="211"/>
      <c r="U40" s="211"/>
      <c r="V40" s="211"/>
      <c r="W40" s="211"/>
      <c r="X40" s="211"/>
      <c r="Y40" s="211"/>
      <c r="Z40" s="211"/>
      <c r="AA40" s="211"/>
      <c r="AB40" s="211"/>
      <c r="AC40" s="211"/>
      <c r="AD40" s="211"/>
      <c r="AE40" s="211"/>
      <c r="AF40" s="211"/>
      <c r="AG40" s="211"/>
      <c r="AH40" s="211"/>
      <c r="AI40" s="212">
        <f t="shared" si="2"/>
        <v>0</v>
      </c>
    </row>
    <row r="41" spans="1:35" s="207" customFormat="1" ht="12.9" customHeight="1">
      <c r="A41" s="208">
        <v>35</v>
      </c>
      <c r="B41" s="215"/>
      <c r="C41" s="210"/>
      <c r="D41" s="211"/>
      <c r="AB41" s="211"/>
      <c r="AI41" s="212">
        <f t="shared" si="2"/>
        <v>0</v>
      </c>
    </row>
    <row r="42" spans="1:35" s="207" customFormat="1" ht="12.9" customHeight="1">
      <c r="A42" s="208">
        <v>36</v>
      </c>
      <c r="B42" s="215"/>
      <c r="C42" s="210"/>
      <c r="D42" s="211"/>
      <c r="AB42" s="211"/>
      <c r="AI42" s="212">
        <f t="shared" si="2"/>
        <v>0</v>
      </c>
    </row>
    <row r="43" spans="1:35" s="207" customFormat="1" ht="12.9" customHeight="1">
      <c r="A43" s="208">
        <v>37</v>
      </c>
      <c r="B43" s="215"/>
      <c r="C43" s="210"/>
      <c r="D43" s="211"/>
      <c r="AB43" s="211"/>
      <c r="AI43" s="212">
        <f t="shared" si="2"/>
        <v>0</v>
      </c>
    </row>
    <row r="44" spans="1:35" s="207" customFormat="1" ht="12.9" customHeight="1">
      <c r="A44" s="208">
        <v>38</v>
      </c>
      <c r="B44" s="215"/>
      <c r="C44" s="210"/>
      <c r="D44" s="211"/>
      <c r="G44" s="211"/>
      <c r="N44" s="211"/>
      <c r="U44" s="211"/>
      <c r="AB44" s="211"/>
      <c r="AI44" s="212">
        <f t="shared" si="2"/>
        <v>0</v>
      </c>
    </row>
    <row r="45" spans="1:35" s="207" customFormat="1" ht="12.9" customHeight="1">
      <c r="A45" s="208">
        <v>39</v>
      </c>
      <c r="B45" s="215"/>
      <c r="C45" s="210"/>
      <c r="D45" s="211"/>
      <c r="E45" s="211"/>
      <c r="F45" s="211"/>
      <c r="G45" s="211"/>
      <c r="H45" s="211"/>
      <c r="I45" s="211"/>
      <c r="J45" s="211"/>
      <c r="N45" s="211"/>
      <c r="U45" s="211"/>
      <c r="AB45" s="211"/>
      <c r="AI45" s="212">
        <f t="shared" si="2"/>
        <v>0</v>
      </c>
    </row>
    <row r="46" spans="1:35" s="207" customFormat="1" ht="12.9" customHeight="1">
      <c r="A46" s="208">
        <v>40</v>
      </c>
      <c r="B46" s="215"/>
      <c r="C46" s="210"/>
      <c r="D46" s="211"/>
      <c r="AB46" s="211"/>
      <c r="AI46" s="212">
        <f t="shared" si="2"/>
        <v>0</v>
      </c>
    </row>
    <row r="47" spans="1:35" s="207" customFormat="1" ht="12.9" customHeight="1">
      <c r="A47" s="208">
        <v>41</v>
      </c>
      <c r="B47" s="215"/>
      <c r="C47" s="210"/>
      <c r="D47" s="211"/>
      <c r="AB47" s="211"/>
      <c r="AI47" s="212">
        <f t="shared" si="2"/>
        <v>0</v>
      </c>
    </row>
    <row r="48" spans="1:35" s="207" customFormat="1" ht="12.9" customHeight="1">
      <c r="A48" s="208">
        <v>42</v>
      </c>
      <c r="B48" s="215"/>
      <c r="C48" s="210"/>
      <c r="D48" s="211"/>
      <c r="AB48" s="211"/>
      <c r="AI48" s="212">
        <f t="shared" si="2"/>
        <v>0</v>
      </c>
    </row>
    <row r="49" spans="1:35" s="207" customFormat="1" ht="12.9" customHeight="1">
      <c r="A49" s="208">
        <v>43</v>
      </c>
      <c r="B49" s="215"/>
      <c r="C49" s="210"/>
      <c r="D49" s="211"/>
      <c r="AB49" s="211"/>
      <c r="AI49" s="212">
        <f t="shared" si="2"/>
        <v>0</v>
      </c>
    </row>
    <row r="50" spans="1:35" s="207" customFormat="1" ht="12.9" customHeight="1">
      <c r="A50" s="208">
        <v>44</v>
      </c>
      <c r="B50" s="215"/>
      <c r="C50" s="210"/>
      <c r="D50" s="211"/>
      <c r="AB50" s="211"/>
      <c r="AD50" s="211"/>
      <c r="AE50" s="211"/>
      <c r="AI50" s="212">
        <f t="shared" si="2"/>
        <v>0</v>
      </c>
    </row>
    <row r="51" spans="1:35" s="207" customFormat="1" ht="12.9" customHeight="1">
      <c r="A51" s="208">
        <v>45</v>
      </c>
      <c r="B51" s="215"/>
      <c r="C51" s="210"/>
      <c r="D51" s="211"/>
      <c r="AB51" s="211"/>
      <c r="AI51" s="212">
        <f t="shared" si="2"/>
        <v>0</v>
      </c>
    </row>
    <row r="52" spans="1:35" s="207" customFormat="1" ht="12.9" customHeight="1">
      <c r="A52" s="208">
        <v>46</v>
      </c>
      <c r="B52" s="209"/>
      <c r="C52" s="210"/>
      <c r="D52" s="211"/>
      <c r="V52" s="214"/>
      <c r="W52" s="214"/>
      <c r="X52" s="214"/>
      <c r="Y52" s="214"/>
      <c r="Z52" s="214"/>
      <c r="AA52" s="214"/>
      <c r="AB52" s="211"/>
      <c r="AC52" s="214"/>
      <c r="AD52" s="214"/>
      <c r="AE52" s="214"/>
      <c r="AF52" s="214"/>
      <c r="AG52" s="214"/>
      <c r="AH52" s="214"/>
      <c r="AI52" s="212">
        <f t="shared" si="2"/>
        <v>0</v>
      </c>
    </row>
    <row r="53" spans="1:35" s="207" customFormat="1" ht="12.9" customHeight="1">
      <c r="A53" s="208">
        <v>47</v>
      </c>
      <c r="B53" s="215"/>
      <c r="C53" s="210"/>
      <c r="D53" s="211"/>
      <c r="L53" s="213"/>
      <c r="O53" s="213"/>
      <c r="S53" s="213"/>
      <c r="T53" s="213"/>
      <c r="AB53" s="211"/>
      <c r="AI53" s="212">
        <f t="shared" si="2"/>
        <v>0</v>
      </c>
    </row>
    <row r="54" spans="1:35" s="207" customFormat="1" ht="12.9" customHeight="1">
      <c r="A54" s="208">
        <v>48</v>
      </c>
      <c r="B54" s="215"/>
      <c r="C54" s="210"/>
      <c r="D54" s="211"/>
      <c r="E54" s="211"/>
      <c r="F54" s="211"/>
      <c r="AB54" s="211"/>
      <c r="AI54" s="212">
        <f t="shared" si="2"/>
        <v>0</v>
      </c>
    </row>
    <row r="55" spans="1:35" s="216" customFormat="1" ht="12.9" customHeight="1">
      <c r="AI55" s="217">
        <f>SUM(AI7:AI54)</f>
        <v>0</v>
      </c>
    </row>
    <row r="56" spans="1:35" ht="12.9" customHeight="1">
      <c r="D56" s="218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20"/>
      <c r="U56" s="220"/>
      <c r="V56" s="220"/>
      <c r="W56" s="220"/>
      <c r="X56" s="220"/>
      <c r="Y56" s="220"/>
      <c r="AI56" s="221"/>
    </row>
    <row r="57" spans="1:35" ht="12.9" customHeight="1">
      <c r="A57" s="236"/>
      <c r="B57" s="237"/>
      <c r="C57" s="236"/>
      <c r="D57" s="211"/>
      <c r="E57" s="207"/>
      <c r="F57" s="207"/>
      <c r="G57" s="211"/>
      <c r="H57" s="207"/>
      <c r="I57" s="207"/>
      <c r="J57" s="207"/>
      <c r="K57" s="207"/>
      <c r="L57" s="207"/>
      <c r="M57" s="207"/>
      <c r="N57" s="211"/>
      <c r="O57" s="207"/>
      <c r="P57" s="207"/>
      <c r="Q57" s="207"/>
      <c r="R57" s="207"/>
      <c r="S57" s="207"/>
      <c r="T57" s="207"/>
      <c r="U57" s="211"/>
      <c r="V57" s="207"/>
      <c r="W57" s="207"/>
      <c r="X57" s="207"/>
      <c r="Y57" s="207"/>
      <c r="Z57" s="207"/>
      <c r="AA57" s="207"/>
      <c r="AB57" s="211"/>
      <c r="AC57" s="207"/>
      <c r="AD57" s="207"/>
      <c r="AE57" s="207"/>
      <c r="AF57" s="207"/>
      <c r="AG57" s="207"/>
      <c r="AH57" s="207"/>
      <c r="AI57" s="222" t="s">
        <v>0</v>
      </c>
    </row>
    <row r="58" spans="1:35" ht="12.9" customHeight="1">
      <c r="A58" s="236"/>
      <c r="B58" s="237"/>
      <c r="C58" s="236"/>
      <c r="D58" s="211"/>
      <c r="E58" s="207"/>
      <c r="F58" s="207"/>
      <c r="G58" s="211"/>
      <c r="H58" s="207"/>
      <c r="I58" s="207"/>
      <c r="J58" s="207"/>
      <c r="K58" s="207"/>
      <c r="L58" s="207"/>
      <c r="M58" s="207"/>
      <c r="N58" s="211"/>
      <c r="O58" s="207"/>
      <c r="P58" s="207"/>
      <c r="Q58" s="207"/>
      <c r="R58" s="207"/>
      <c r="S58" s="207"/>
      <c r="T58" s="207"/>
      <c r="U58" s="211"/>
      <c r="V58" s="207"/>
      <c r="W58" s="207"/>
      <c r="X58" s="207"/>
      <c r="Y58" s="207"/>
      <c r="Z58" s="207"/>
      <c r="AA58" s="207"/>
      <c r="AB58" s="211"/>
      <c r="AC58" s="207"/>
      <c r="AD58" s="207"/>
      <c r="AE58" s="207"/>
      <c r="AF58" s="207"/>
      <c r="AG58" s="207"/>
      <c r="AH58" s="207"/>
      <c r="AI58" s="222" t="s">
        <v>53</v>
      </c>
    </row>
    <row r="59" spans="1:35" ht="12.9" customHeight="1">
      <c r="A59" s="223">
        <v>1</v>
      </c>
      <c r="B59" s="224"/>
      <c r="C59" s="210"/>
      <c r="D59" s="225"/>
      <c r="E59" s="225"/>
      <c r="F59" s="225"/>
      <c r="G59" s="225"/>
      <c r="H59" s="225"/>
      <c r="I59" s="225"/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  <c r="AA59" s="225"/>
      <c r="AB59" s="225"/>
      <c r="AC59" s="225"/>
      <c r="AD59" s="225"/>
      <c r="AE59" s="225"/>
      <c r="AF59" s="225"/>
      <c r="AG59" s="225"/>
      <c r="AH59" s="225"/>
      <c r="AI59" s="226">
        <f t="shared" ref="AI59:AI99" si="3">SUM(D59:AH59)</f>
        <v>0</v>
      </c>
    </row>
    <row r="60" spans="1:35" ht="12.9" customHeight="1">
      <c r="A60" s="223">
        <v>2</v>
      </c>
      <c r="B60" s="224"/>
      <c r="C60" s="210"/>
      <c r="D60" s="225"/>
      <c r="E60" s="225"/>
      <c r="F60" s="225"/>
      <c r="G60" s="225"/>
      <c r="H60" s="225"/>
      <c r="I60" s="225"/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  <c r="AA60" s="225"/>
      <c r="AB60" s="225"/>
      <c r="AC60" s="225"/>
      <c r="AD60" s="225"/>
      <c r="AE60" s="225"/>
      <c r="AF60" s="225"/>
      <c r="AG60" s="225"/>
      <c r="AH60" s="225"/>
      <c r="AI60" s="226">
        <f t="shared" si="3"/>
        <v>0</v>
      </c>
    </row>
    <row r="61" spans="1:35" ht="12.9" customHeight="1">
      <c r="A61" s="223">
        <v>3</v>
      </c>
      <c r="B61" s="224"/>
      <c r="C61" s="210"/>
      <c r="D61" s="225"/>
      <c r="E61" s="225"/>
      <c r="F61" s="225"/>
      <c r="G61" s="225"/>
      <c r="H61" s="225"/>
      <c r="I61" s="225"/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  <c r="AA61" s="225"/>
      <c r="AB61" s="225"/>
      <c r="AC61" s="225"/>
      <c r="AD61" s="225"/>
      <c r="AE61" s="225"/>
      <c r="AF61" s="225"/>
      <c r="AG61" s="225"/>
      <c r="AH61" s="225"/>
      <c r="AI61" s="226">
        <f t="shared" si="3"/>
        <v>0</v>
      </c>
    </row>
    <row r="62" spans="1:35" ht="12.9" customHeight="1">
      <c r="A62" s="208">
        <v>4</v>
      </c>
      <c r="B62" s="224"/>
      <c r="C62" s="210"/>
      <c r="D62" s="225"/>
      <c r="E62" s="225"/>
      <c r="F62" s="225"/>
      <c r="G62" s="225"/>
      <c r="H62" s="225"/>
      <c r="I62" s="225"/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  <c r="AA62" s="225"/>
      <c r="AB62" s="225"/>
      <c r="AC62" s="225"/>
      <c r="AD62" s="225"/>
      <c r="AE62" s="225"/>
      <c r="AF62" s="225"/>
      <c r="AG62" s="225"/>
      <c r="AH62" s="225"/>
      <c r="AI62" s="226">
        <f t="shared" si="3"/>
        <v>0</v>
      </c>
    </row>
    <row r="63" spans="1:35" ht="12.9" customHeight="1">
      <c r="A63" s="208">
        <v>5</v>
      </c>
      <c r="B63" s="224"/>
      <c r="C63" s="210"/>
      <c r="D63" s="225"/>
      <c r="E63" s="225"/>
      <c r="F63" s="225"/>
      <c r="G63" s="225"/>
      <c r="H63" s="225"/>
      <c r="I63" s="225"/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  <c r="AA63" s="225"/>
      <c r="AB63" s="225"/>
      <c r="AC63" s="225"/>
      <c r="AD63" s="225"/>
      <c r="AE63" s="225"/>
      <c r="AF63" s="225"/>
      <c r="AG63" s="225"/>
      <c r="AH63" s="225"/>
      <c r="AI63" s="226">
        <f t="shared" si="3"/>
        <v>0</v>
      </c>
    </row>
    <row r="64" spans="1:35" ht="12.9" customHeight="1">
      <c r="A64" s="223">
        <v>6</v>
      </c>
      <c r="B64" s="224"/>
      <c r="C64" s="210"/>
      <c r="D64" s="225"/>
      <c r="E64" s="225"/>
      <c r="F64" s="225"/>
      <c r="G64" s="225"/>
      <c r="H64" s="225"/>
      <c r="I64" s="225"/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  <c r="AA64" s="225"/>
      <c r="AB64" s="225"/>
      <c r="AC64" s="225"/>
      <c r="AD64" s="225"/>
      <c r="AE64" s="225"/>
      <c r="AF64" s="225"/>
      <c r="AG64" s="225"/>
      <c r="AH64" s="225"/>
      <c r="AI64" s="226">
        <f t="shared" si="3"/>
        <v>0</v>
      </c>
    </row>
    <row r="65" spans="1:35" ht="12.9" customHeight="1">
      <c r="A65" s="223">
        <v>7</v>
      </c>
      <c r="B65" s="224"/>
      <c r="C65" s="210"/>
      <c r="D65" s="225"/>
      <c r="E65" s="225"/>
      <c r="F65" s="225"/>
      <c r="G65" s="225"/>
      <c r="H65" s="225"/>
      <c r="I65" s="225"/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  <c r="AA65" s="225"/>
      <c r="AB65" s="225"/>
      <c r="AC65" s="225"/>
      <c r="AD65" s="225"/>
      <c r="AE65" s="225"/>
      <c r="AF65" s="225"/>
      <c r="AG65" s="225"/>
      <c r="AH65" s="225"/>
      <c r="AI65" s="226">
        <f t="shared" si="3"/>
        <v>0</v>
      </c>
    </row>
    <row r="66" spans="1:35" ht="12.9" customHeight="1">
      <c r="A66" s="223">
        <v>8</v>
      </c>
      <c r="B66" s="224"/>
      <c r="C66" s="210"/>
      <c r="D66" s="225"/>
      <c r="E66" s="225"/>
      <c r="F66" s="225"/>
      <c r="G66" s="225"/>
      <c r="H66" s="225"/>
      <c r="I66" s="225"/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  <c r="AA66" s="225"/>
      <c r="AB66" s="225"/>
      <c r="AC66" s="225"/>
      <c r="AD66" s="225"/>
      <c r="AE66" s="225"/>
      <c r="AF66" s="225"/>
      <c r="AG66" s="225"/>
      <c r="AH66" s="225"/>
      <c r="AI66" s="226">
        <f t="shared" si="3"/>
        <v>0</v>
      </c>
    </row>
    <row r="67" spans="1:35" ht="12.9" customHeight="1">
      <c r="A67" s="223">
        <v>9</v>
      </c>
      <c r="B67" s="224"/>
      <c r="C67" s="210"/>
      <c r="D67" s="225"/>
      <c r="E67" s="225"/>
      <c r="F67" s="225"/>
      <c r="G67" s="225"/>
      <c r="H67" s="225"/>
      <c r="I67" s="225"/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  <c r="AA67" s="225"/>
      <c r="AB67" s="225"/>
      <c r="AC67" s="225"/>
      <c r="AD67" s="225"/>
      <c r="AE67" s="225"/>
      <c r="AF67" s="225"/>
      <c r="AG67" s="225"/>
      <c r="AH67" s="225"/>
      <c r="AI67" s="226">
        <f t="shared" si="3"/>
        <v>0</v>
      </c>
    </row>
    <row r="68" spans="1:35" ht="12.9" customHeight="1">
      <c r="A68" s="208">
        <v>10</v>
      </c>
      <c r="B68" s="224"/>
      <c r="C68" s="210"/>
      <c r="D68" s="225"/>
      <c r="E68" s="225"/>
      <c r="F68" s="225"/>
      <c r="G68" s="225"/>
      <c r="H68" s="225"/>
      <c r="I68" s="225"/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  <c r="AA68" s="225"/>
      <c r="AB68" s="225"/>
      <c r="AC68" s="225"/>
      <c r="AD68" s="225"/>
      <c r="AE68" s="225"/>
      <c r="AF68" s="225"/>
      <c r="AG68" s="225"/>
      <c r="AH68" s="225"/>
      <c r="AI68" s="226">
        <f t="shared" si="3"/>
        <v>0</v>
      </c>
    </row>
    <row r="69" spans="1:35" ht="12.9" customHeight="1">
      <c r="A69" s="208">
        <v>11</v>
      </c>
      <c r="B69" s="224"/>
      <c r="C69" s="210"/>
      <c r="D69" s="225"/>
      <c r="E69" s="225"/>
      <c r="F69" s="225"/>
      <c r="G69" s="225"/>
      <c r="H69" s="225"/>
      <c r="I69" s="225"/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  <c r="AA69" s="225"/>
      <c r="AB69" s="225"/>
      <c r="AC69" s="225"/>
      <c r="AD69" s="225"/>
      <c r="AE69" s="225"/>
      <c r="AF69" s="225"/>
      <c r="AG69" s="225"/>
      <c r="AH69" s="225"/>
      <c r="AI69" s="226">
        <f t="shared" si="3"/>
        <v>0</v>
      </c>
    </row>
    <row r="70" spans="1:35" ht="12.9" customHeight="1">
      <c r="A70" s="223">
        <v>12</v>
      </c>
      <c r="B70" s="224"/>
      <c r="C70" s="210"/>
      <c r="D70" s="225"/>
      <c r="E70" s="225"/>
      <c r="F70" s="225"/>
      <c r="G70" s="225"/>
      <c r="H70" s="225"/>
      <c r="I70" s="225"/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  <c r="AA70" s="225"/>
      <c r="AB70" s="225"/>
      <c r="AC70" s="225"/>
      <c r="AD70" s="225"/>
      <c r="AE70" s="225"/>
      <c r="AF70" s="225"/>
      <c r="AG70" s="225"/>
      <c r="AH70" s="225"/>
      <c r="AI70" s="226">
        <f t="shared" si="3"/>
        <v>0</v>
      </c>
    </row>
    <row r="71" spans="1:35" ht="12.9" customHeight="1">
      <c r="A71" s="223">
        <v>13</v>
      </c>
      <c r="B71" s="224"/>
      <c r="C71" s="210"/>
      <c r="D71" s="225"/>
      <c r="E71" s="225"/>
      <c r="F71" s="225"/>
      <c r="G71" s="225"/>
      <c r="H71" s="225"/>
      <c r="I71" s="225"/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  <c r="AA71" s="225"/>
      <c r="AB71" s="225"/>
      <c r="AC71" s="225"/>
      <c r="AD71" s="225"/>
      <c r="AE71" s="225"/>
      <c r="AF71" s="225"/>
      <c r="AG71" s="225"/>
      <c r="AH71" s="225"/>
      <c r="AI71" s="226">
        <f t="shared" si="3"/>
        <v>0</v>
      </c>
    </row>
    <row r="72" spans="1:35" ht="12.9" customHeight="1">
      <c r="A72" s="223">
        <v>14</v>
      </c>
      <c r="B72" s="224"/>
      <c r="C72" s="210"/>
      <c r="D72" s="225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  <c r="AA72" s="225"/>
      <c r="AB72" s="225"/>
      <c r="AC72" s="225"/>
      <c r="AD72" s="225"/>
      <c r="AE72" s="225"/>
      <c r="AF72" s="225"/>
      <c r="AG72" s="225"/>
      <c r="AH72" s="225"/>
      <c r="AI72" s="226">
        <f t="shared" si="3"/>
        <v>0</v>
      </c>
    </row>
    <row r="73" spans="1:35" ht="12.9" customHeight="1">
      <c r="A73" s="223">
        <v>15</v>
      </c>
      <c r="B73" s="224"/>
      <c r="C73" s="210"/>
      <c r="D73" s="225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  <c r="AA73" s="225"/>
      <c r="AB73" s="225"/>
      <c r="AC73" s="225"/>
      <c r="AD73" s="225"/>
      <c r="AE73" s="225"/>
      <c r="AF73" s="225"/>
      <c r="AG73" s="225"/>
      <c r="AH73" s="225"/>
      <c r="AI73" s="226">
        <f t="shared" si="3"/>
        <v>0</v>
      </c>
    </row>
    <row r="74" spans="1:35" ht="12.9" customHeight="1">
      <c r="A74" s="208">
        <v>16</v>
      </c>
      <c r="B74" s="224"/>
      <c r="C74" s="210"/>
      <c r="D74" s="225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6">
        <f t="shared" si="3"/>
        <v>0</v>
      </c>
    </row>
    <row r="75" spans="1:35" ht="12.9" customHeight="1">
      <c r="A75" s="208">
        <v>17</v>
      </c>
      <c r="B75" s="224"/>
      <c r="C75" s="210"/>
      <c r="D75" s="225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  <c r="AA75" s="225"/>
      <c r="AB75" s="225"/>
      <c r="AC75" s="225"/>
      <c r="AD75" s="225"/>
      <c r="AE75" s="225"/>
      <c r="AF75" s="225"/>
      <c r="AG75" s="225"/>
      <c r="AH75" s="225"/>
      <c r="AI75" s="226">
        <f t="shared" si="3"/>
        <v>0</v>
      </c>
    </row>
    <row r="76" spans="1:35" ht="12.9" customHeight="1">
      <c r="A76" s="223">
        <v>18</v>
      </c>
      <c r="B76" s="224"/>
      <c r="C76" s="210"/>
      <c r="D76" s="225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  <c r="AA76" s="225"/>
      <c r="AB76" s="225"/>
      <c r="AC76" s="225"/>
      <c r="AD76" s="225"/>
      <c r="AE76" s="225"/>
      <c r="AF76" s="225"/>
      <c r="AG76" s="225"/>
      <c r="AH76" s="225"/>
      <c r="AI76" s="226">
        <f t="shared" si="3"/>
        <v>0</v>
      </c>
    </row>
    <row r="77" spans="1:35" ht="12.9" customHeight="1">
      <c r="A77" s="223">
        <v>19</v>
      </c>
      <c r="B77" s="224"/>
      <c r="C77" s="210"/>
      <c r="D77" s="225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  <c r="AA77" s="225"/>
      <c r="AB77" s="225"/>
      <c r="AC77" s="225"/>
      <c r="AD77" s="225"/>
      <c r="AE77" s="225"/>
      <c r="AF77" s="225"/>
      <c r="AG77" s="225"/>
      <c r="AH77" s="225"/>
      <c r="AI77" s="226">
        <f t="shared" si="3"/>
        <v>0</v>
      </c>
    </row>
    <row r="78" spans="1:35" ht="12.9" customHeight="1">
      <c r="A78" s="223">
        <v>20</v>
      </c>
      <c r="B78" s="224"/>
      <c r="C78" s="210"/>
      <c r="D78" s="225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  <c r="AA78" s="225"/>
      <c r="AB78" s="225"/>
      <c r="AC78" s="225"/>
      <c r="AD78" s="225"/>
      <c r="AE78" s="225"/>
      <c r="AF78" s="225"/>
      <c r="AG78" s="225"/>
      <c r="AH78" s="225"/>
      <c r="AI78" s="226">
        <f t="shared" si="3"/>
        <v>0</v>
      </c>
    </row>
    <row r="79" spans="1:35" ht="12.9" customHeight="1">
      <c r="A79" s="223">
        <v>21</v>
      </c>
      <c r="B79" s="224"/>
      <c r="C79" s="210"/>
      <c r="D79" s="225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  <c r="AA79" s="225"/>
      <c r="AB79" s="225"/>
      <c r="AC79" s="225"/>
      <c r="AD79" s="225"/>
      <c r="AE79" s="225"/>
      <c r="AF79" s="225"/>
      <c r="AG79" s="225"/>
      <c r="AH79" s="225"/>
      <c r="AI79" s="226">
        <f t="shared" si="3"/>
        <v>0</v>
      </c>
    </row>
    <row r="80" spans="1:35" ht="12.9" customHeight="1">
      <c r="A80" s="208">
        <v>22</v>
      </c>
      <c r="B80" s="224"/>
      <c r="C80" s="210"/>
      <c r="D80" s="225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  <c r="AA80" s="225"/>
      <c r="AB80" s="225"/>
      <c r="AC80" s="225"/>
      <c r="AD80" s="225"/>
      <c r="AE80" s="225"/>
      <c r="AF80" s="225"/>
      <c r="AG80" s="225"/>
      <c r="AH80" s="225"/>
      <c r="AI80" s="226">
        <f t="shared" si="3"/>
        <v>0</v>
      </c>
    </row>
    <row r="81" spans="1:35" ht="12.9" customHeight="1">
      <c r="A81" s="208">
        <v>23</v>
      </c>
      <c r="B81" s="224"/>
      <c r="C81" s="210"/>
      <c r="D81" s="225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  <c r="AA81" s="225"/>
      <c r="AB81" s="225"/>
      <c r="AC81" s="225"/>
      <c r="AD81" s="225"/>
      <c r="AE81" s="225"/>
      <c r="AF81" s="225"/>
      <c r="AG81" s="225"/>
      <c r="AH81" s="225"/>
      <c r="AI81" s="226">
        <f t="shared" si="3"/>
        <v>0</v>
      </c>
    </row>
    <row r="82" spans="1:35" ht="12.75" customHeight="1">
      <c r="A82" s="223">
        <v>24</v>
      </c>
      <c r="B82" s="224"/>
      <c r="C82" s="210"/>
      <c r="D82" s="225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  <c r="AA82" s="225"/>
      <c r="AB82" s="225"/>
      <c r="AC82" s="225"/>
      <c r="AD82" s="225"/>
      <c r="AE82" s="225"/>
      <c r="AF82" s="225"/>
      <c r="AG82" s="225"/>
      <c r="AH82" s="225"/>
      <c r="AI82" s="226">
        <f t="shared" si="3"/>
        <v>0</v>
      </c>
    </row>
    <row r="83" spans="1:35" ht="12.75" customHeight="1">
      <c r="A83" s="223">
        <v>25</v>
      </c>
      <c r="B83" s="224"/>
      <c r="C83" s="210"/>
      <c r="D83" s="225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  <c r="AA83" s="225"/>
      <c r="AB83" s="225"/>
      <c r="AC83" s="225"/>
      <c r="AD83" s="225"/>
      <c r="AE83" s="225"/>
      <c r="AF83" s="225"/>
      <c r="AG83" s="225"/>
      <c r="AH83" s="225"/>
      <c r="AI83" s="226">
        <f t="shared" si="3"/>
        <v>0</v>
      </c>
    </row>
    <row r="84" spans="1:35" ht="12.75" customHeight="1">
      <c r="A84" s="223">
        <v>26</v>
      </c>
      <c r="B84" s="224"/>
      <c r="C84" s="210"/>
      <c r="D84" s="225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  <c r="AA84" s="225"/>
      <c r="AB84" s="225"/>
      <c r="AC84" s="225"/>
      <c r="AD84" s="225"/>
      <c r="AE84" s="225"/>
      <c r="AF84" s="225"/>
      <c r="AG84" s="225"/>
      <c r="AH84" s="225"/>
      <c r="AI84" s="226">
        <f t="shared" si="3"/>
        <v>0</v>
      </c>
    </row>
    <row r="85" spans="1:35" ht="12.75" customHeight="1">
      <c r="A85" s="223">
        <v>27</v>
      </c>
      <c r="B85" s="224"/>
      <c r="C85" s="210"/>
      <c r="D85" s="225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  <c r="AA85" s="225"/>
      <c r="AB85" s="225"/>
      <c r="AC85" s="225"/>
      <c r="AD85" s="225"/>
      <c r="AE85" s="225"/>
      <c r="AF85" s="225"/>
      <c r="AG85" s="225"/>
      <c r="AH85" s="225"/>
      <c r="AI85" s="226">
        <f t="shared" si="3"/>
        <v>0</v>
      </c>
    </row>
    <row r="86" spans="1:35" ht="12.75" customHeight="1">
      <c r="A86" s="208">
        <v>28</v>
      </c>
      <c r="B86" s="224"/>
      <c r="C86" s="210"/>
      <c r="D86" s="225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  <c r="AA86" s="225"/>
      <c r="AB86" s="225"/>
      <c r="AC86" s="225"/>
      <c r="AD86" s="225"/>
      <c r="AE86" s="225"/>
      <c r="AF86" s="225"/>
      <c r="AG86" s="225"/>
      <c r="AH86" s="225"/>
      <c r="AI86" s="226">
        <f t="shared" si="3"/>
        <v>0</v>
      </c>
    </row>
    <row r="87" spans="1:35" ht="12.75" customHeight="1">
      <c r="A87" s="208">
        <v>29</v>
      </c>
      <c r="B87" s="224"/>
      <c r="C87" s="210"/>
      <c r="D87" s="225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  <c r="AA87" s="225"/>
      <c r="AB87" s="225"/>
      <c r="AC87" s="225"/>
      <c r="AD87" s="225"/>
      <c r="AE87" s="225"/>
      <c r="AF87" s="225"/>
      <c r="AG87" s="225"/>
      <c r="AH87" s="225"/>
      <c r="AI87" s="226">
        <f t="shared" si="3"/>
        <v>0</v>
      </c>
    </row>
    <row r="88" spans="1:35" ht="12.75" customHeight="1">
      <c r="A88" s="223">
        <v>30</v>
      </c>
      <c r="B88" s="224"/>
      <c r="C88" s="210"/>
      <c r="D88" s="225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  <c r="AA88" s="225"/>
      <c r="AB88" s="225"/>
      <c r="AC88" s="225"/>
      <c r="AD88" s="225"/>
      <c r="AE88" s="225"/>
      <c r="AF88" s="225"/>
      <c r="AG88" s="225"/>
      <c r="AH88" s="225"/>
      <c r="AI88" s="226">
        <f t="shared" si="3"/>
        <v>0</v>
      </c>
    </row>
    <row r="89" spans="1:35" ht="12.75" customHeight="1">
      <c r="A89" s="223">
        <v>31</v>
      </c>
      <c r="B89" s="224"/>
      <c r="C89" s="210"/>
      <c r="D89" s="225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  <c r="AA89" s="225"/>
      <c r="AB89" s="225"/>
      <c r="AC89" s="225"/>
      <c r="AD89" s="225"/>
      <c r="AE89" s="225"/>
      <c r="AF89" s="225"/>
      <c r="AG89" s="225"/>
      <c r="AH89" s="225"/>
      <c r="AI89" s="226">
        <f t="shared" si="3"/>
        <v>0</v>
      </c>
    </row>
    <row r="90" spans="1:35" ht="12.75" customHeight="1">
      <c r="A90" s="223">
        <v>32</v>
      </c>
      <c r="B90" s="224"/>
      <c r="C90" s="210"/>
      <c r="D90" s="225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  <c r="AA90" s="225"/>
      <c r="AB90" s="225"/>
      <c r="AC90" s="225"/>
      <c r="AD90" s="225"/>
      <c r="AE90" s="225"/>
      <c r="AF90" s="225"/>
      <c r="AG90" s="225"/>
      <c r="AH90" s="225"/>
      <c r="AI90" s="226">
        <f t="shared" si="3"/>
        <v>0</v>
      </c>
    </row>
    <row r="91" spans="1:35" ht="12.75" customHeight="1">
      <c r="A91" s="223">
        <v>33</v>
      </c>
      <c r="B91" s="224"/>
      <c r="C91" s="210"/>
      <c r="D91" s="225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  <c r="AA91" s="225"/>
      <c r="AB91" s="225"/>
      <c r="AC91" s="225"/>
      <c r="AD91" s="225"/>
      <c r="AE91" s="225"/>
      <c r="AF91" s="225"/>
      <c r="AG91" s="225"/>
      <c r="AH91" s="225"/>
      <c r="AI91" s="226">
        <f t="shared" si="3"/>
        <v>0</v>
      </c>
    </row>
    <row r="92" spans="1:35" ht="12.75" customHeight="1">
      <c r="A92" s="208">
        <v>34</v>
      </c>
      <c r="B92" s="224"/>
      <c r="C92" s="210"/>
      <c r="D92" s="225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  <c r="AA92" s="225"/>
      <c r="AB92" s="225"/>
      <c r="AC92" s="225"/>
      <c r="AD92" s="225"/>
      <c r="AE92" s="225"/>
      <c r="AF92" s="225"/>
      <c r="AG92" s="225"/>
      <c r="AH92" s="225"/>
      <c r="AI92" s="226">
        <f t="shared" si="3"/>
        <v>0</v>
      </c>
    </row>
    <row r="93" spans="1:35" ht="12.75" customHeight="1">
      <c r="A93" s="208">
        <v>35</v>
      </c>
      <c r="B93" s="224"/>
      <c r="C93" s="210"/>
      <c r="D93" s="225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  <c r="AA93" s="225"/>
      <c r="AB93" s="225"/>
      <c r="AC93" s="225"/>
      <c r="AD93" s="225"/>
      <c r="AE93" s="225"/>
      <c r="AF93" s="225"/>
      <c r="AG93" s="225"/>
      <c r="AH93" s="225"/>
      <c r="AI93" s="226">
        <f t="shared" si="3"/>
        <v>0</v>
      </c>
    </row>
    <row r="94" spans="1:35" ht="12.75" customHeight="1">
      <c r="A94" s="223">
        <v>36</v>
      </c>
      <c r="B94" s="224"/>
      <c r="C94" s="210"/>
      <c r="D94" s="225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  <c r="AA94" s="225"/>
      <c r="AB94" s="225"/>
      <c r="AC94" s="225"/>
      <c r="AD94" s="225"/>
      <c r="AE94" s="225"/>
      <c r="AF94" s="225"/>
      <c r="AG94" s="225"/>
      <c r="AH94" s="225"/>
      <c r="AI94" s="226">
        <f t="shared" si="3"/>
        <v>0</v>
      </c>
    </row>
    <row r="95" spans="1:35" ht="12.75" customHeight="1">
      <c r="A95" s="223">
        <v>37</v>
      </c>
      <c r="B95" s="224"/>
      <c r="C95" s="210"/>
      <c r="D95" s="225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  <c r="AA95" s="225"/>
      <c r="AB95" s="225"/>
      <c r="AC95" s="225"/>
      <c r="AD95" s="225"/>
      <c r="AE95" s="225"/>
      <c r="AF95" s="225"/>
      <c r="AG95" s="225"/>
      <c r="AH95" s="225"/>
      <c r="AI95" s="226">
        <f t="shared" si="3"/>
        <v>0</v>
      </c>
    </row>
    <row r="96" spans="1:35" ht="12.75" customHeight="1">
      <c r="A96" s="223">
        <v>38</v>
      </c>
      <c r="B96" s="224"/>
      <c r="C96" s="210"/>
      <c r="D96" s="225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  <c r="AA96" s="225"/>
      <c r="AB96" s="225"/>
      <c r="AC96" s="225"/>
      <c r="AD96" s="225"/>
      <c r="AE96" s="225"/>
      <c r="AF96" s="225"/>
      <c r="AG96" s="225"/>
      <c r="AH96" s="225"/>
      <c r="AI96" s="226">
        <f t="shared" si="3"/>
        <v>0</v>
      </c>
    </row>
    <row r="97" spans="1:35" ht="12.75" customHeight="1">
      <c r="A97" s="223">
        <v>39</v>
      </c>
      <c r="B97" s="224"/>
      <c r="C97" s="210"/>
      <c r="D97" s="225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  <c r="AA97" s="225"/>
      <c r="AB97" s="225"/>
      <c r="AC97" s="225"/>
      <c r="AD97" s="225"/>
      <c r="AE97" s="225"/>
      <c r="AF97" s="225"/>
      <c r="AG97" s="225"/>
      <c r="AH97" s="225"/>
      <c r="AI97" s="226">
        <f t="shared" si="3"/>
        <v>0</v>
      </c>
    </row>
    <row r="98" spans="1:35" ht="12.75" customHeight="1">
      <c r="A98" s="208">
        <v>40</v>
      </c>
      <c r="B98" s="224"/>
      <c r="C98" s="210"/>
      <c r="D98" s="225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  <c r="AA98" s="225"/>
      <c r="AB98" s="225"/>
      <c r="AC98" s="225"/>
      <c r="AD98" s="225"/>
      <c r="AE98" s="225"/>
      <c r="AF98" s="225"/>
      <c r="AG98" s="225"/>
      <c r="AH98" s="225"/>
      <c r="AI98" s="226">
        <f t="shared" si="3"/>
        <v>0</v>
      </c>
    </row>
    <row r="99" spans="1:35" ht="12.9" customHeight="1">
      <c r="A99" s="208">
        <v>41</v>
      </c>
      <c r="B99" s="224"/>
      <c r="C99" s="210"/>
      <c r="D99" s="225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  <c r="AA99" s="225"/>
      <c r="AB99" s="225"/>
      <c r="AC99" s="225"/>
      <c r="AD99" s="225"/>
      <c r="AE99" s="225"/>
      <c r="AF99" s="225"/>
      <c r="AG99" s="225"/>
      <c r="AH99" s="225"/>
      <c r="AI99" s="226">
        <f t="shared" si="3"/>
        <v>0</v>
      </c>
    </row>
    <row r="100" spans="1:35" ht="12.9" customHeight="1"/>
    <row r="101" spans="1:35" ht="12.9" customHeight="1"/>
    <row r="102" spans="1:35" ht="12.9" customHeight="1">
      <c r="AI102" s="227"/>
    </row>
    <row r="103" spans="1:35" ht="12.9" customHeight="1"/>
    <row r="104" spans="1:35" ht="12.9" customHeight="1"/>
  </sheetData>
  <mergeCells count="4">
    <mergeCell ref="A2:AI3"/>
    <mergeCell ref="A5:A6"/>
    <mergeCell ref="B5:B6"/>
    <mergeCell ref="C5:C6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A5D6E-F639-4214-A32C-F699A64D1AC2}">
  <dimension ref="A1:F19"/>
  <sheetViews>
    <sheetView tabSelected="1" zoomScaleNormal="100" workbookViewId="0">
      <selection activeCell="B5" sqref="B5"/>
    </sheetView>
  </sheetViews>
  <sheetFormatPr baseColWidth="10" defaultRowHeight="14.4"/>
  <cols>
    <col min="1" max="1" width="27" customWidth="1"/>
    <col min="2" max="6" width="32.5546875" customWidth="1"/>
  </cols>
  <sheetData>
    <row r="1" spans="1:6" ht="31.2">
      <c r="A1" s="199" t="s">
        <v>36</v>
      </c>
      <c r="B1" s="135" t="s">
        <v>70</v>
      </c>
      <c r="C1" s="136" t="s">
        <v>70</v>
      </c>
      <c r="D1" s="137" t="s">
        <v>75</v>
      </c>
      <c r="E1" s="137" t="s">
        <v>76</v>
      </c>
      <c r="F1" s="202" t="s">
        <v>77</v>
      </c>
    </row>
    <row r="2" spans="1:6" ht="31.2">
      <c r="A2" s="200"/>
      <c r="B2" s="138" t="s">
        <v>71</v>
      </c>
      <c r="C2" s="139" t="s">
        <v>73</v>
      </c>
      <c r="D2" s="140" t="s">
        <v>82</v>
      </c>
      <c r="E2" s="141" t="s">
        <v>72</v>
      </c>
      <c r="F2" s="203"/>
    </row>
    <row r="3" spans="1:6" ht="31.8" thickBot="1">
      <c r="A3" s="201"/>
      <c r="B3" s="142" t="s">
        <v>72</v>
      </c>
      <c r="C3" s="143" t="s">
        <v>74</v>
      </c>
      <c r="D3" s="144" t="s">
        <v>72</v>
      </c>
      <c r="E3" s="145"/>
      <c r="F3" s="204"/>
    </row>
    <row r="4" spans="1:6" ht="18" thickBot="1">
      <c r="A4" s="132" t="s">
        <v>78</v>
      </c>
      <c r="B4" s="134"/>
      <c r="C4" s="134"/>
      <c r="D4" s="134"/>
      <c r="E4" s="134"/>
      <c r="F4" s="133"/>
    </row>
    <row r="5" spans="1:6" ht="18" thickBot="1">
      <c r="A5" s="132" t="s">
        <v>79</v>
      </c>
      <c r="B5" s="134"/>
      <c r="C5" s="134"/>
      <c r="D5" s="134"/>
      <c r="E5" s="134"/>
      <c r="F5" s="133"/>
    </row>
    <row r="6" spans="1:6" ht="18" thickBot="1">
      <c r="A6" s="132" t="s">
        <v>80</v>
      </c>
      <c r="B6" s="134"/>
      <c r="C6" s="134"/>
      <c r="D6" s="134"/>
      <c r="E6" s="134"/>
      <c r="F6" s="133"/>
    </row>
    <row r="7" spans="1:6" ht="18" thickBot="1">
      <c r="A7" s="132" t="s">
        <v>81</v>
      </c>
      <c r="B7" s="134"/>
      <c r="C7" s="134"/>
      <c r="D7" s="134"/>
      <c r="E7" s="134"/>
      <c r="F7" s="133"/>
    </row>
    <row r="12" spans="1:6">
      <c r="C12" s="11"/>
    </row>
    <row r="13" spans="1:6">
      <c r="C13" s="11"/>
    </row>
    <row r="14" spans="1:6">
      <c r="C14" s="11"/>
    </row>
    <row r="15" spans="1:6">
      <c r="C15" s="11"/>
    </row>
    <row r="16" spans="1:6">
      <c r="C16" s="11"/>
    </row>
    <row r="17" spans="3:3">
      <c r="C17" s="11"/>
    </row>
    <row r="18" spans="3:3">
      <c r="C18" s="11"/>
    </row>
    <row r="19" spans="3:3">
      <c r="C19" s="11"/>
    </row>
  </sheetData>
  <mergeCells count="2">
    <mergeCell ref="A1:A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PROYECTADA</vt:lpstr>
      <vt:lpstr>PLAME</vt:lpstr>
      <vt:lpstr>REPORTE DIARIO</vt:lpstr>
      <vt:lpstr>DESCUENTO AFP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Quispe Ramos</dc:creator>
  <cp:lastModifiedBy>Benjamin Quispe Ramos</cp:lastModifiedBy>
  <dcterms:created xsi:type="dcterms:W3CDTF">2026-07-18T22:12:08Z</dcterms:created>
  <dcterms:modified xsi:type="dcterms:W3CDTF">2026-08-05T00:22:05Z</dcterms:modified>
</cp:coreProperties>
</file>