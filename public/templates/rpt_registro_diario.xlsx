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laragon\www\tierrasanta\public\templates\"/>
    </mc:Choice>
  </mc:AlternateContent>
  <xr:revisionPtr revIDLastSave="0" documentId="13_ncr:1_{DC303030-D3D4-4847-A87B-56C94BA1B65D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LABORES" sheetId="9" r:id="rId1"/>
    <sheet name="PLANILLA Y CUADRILLA" sheetId="5" r:id="rId2"/>
    <sheet name="Mujeres" sheetId="2" state="hidden" r:id="rId3"/>
    <sheet name="Hombres" sheetId="6" state="hidden" r:id="rId4"/>
    <sheet name="Hoja1" sheetId="3" state="hidden" r:id="rId5"/>
    <sheet name="REGADORES" sheetId="7" r:id="rId6"/>
    <sheet name="CUADRILLA" sheetId="10" r:id="rId7"/>
    <sheet name="Hoja2" sheetId="8" state="hidden" r:id="rId8"/>
  </sheets>
  <definedNames>
    <definedName name="_xlnm._FilterDatabase" localSheetId="1" hidden="1">'PLANILLA Y CUADRILLA'!$A$6:$AG$144</definedName>
    <definedName name="_xlnm.Print_Area" localSheetId="3">Hombres!$A$1:$AD$54</definedName>
    <definedName name="_xlnm.Print_Area" localSheetId="2">Mujeres!$A$1:$AD$54</definedName>
  </definedNames>
  <calcPr calcId="191029"/>
</workbook>
</file>

<file path=xl/calcChain.xml><?xml version="1.0" encoding="utf-8"?>
<calcChain xmlns="http://schemas.openxmlformats.org/spreadsheetml/2006/main">
  <c r="C132" i="5" l="1"/>
  <c r="C134" i="5"/>
  <c r="C133" i="5"/>
  <c r="C131" i="5"/>
  <c r="C130" i="5"/>
  <c r="C129" i="5"/>
  <c r="C128" i="5"/>
  <c r="C127" i="5"/>
  <c r="D130" i="5" l="1"/>
  <c r="AG93" i="5"/>
  <c r="AG94" i="5"/>
  <c r="C135" i="5" l="1"/>
  <c r="AG107" i="5" l="1"/>
  <c r="AG108" i="5"/>
  <c r="AG109" i="5"/>
  <c r="AG110" i="5"/>
  <c r="AG111" i="5"/>
  <c r="AG112" i="5"/>
  <c r="AG113" i="5"/>
  <c r="AG114" i="5"/>
  <c r="AG115" i="5"/>
  <c r="AG116" i="5"/>
  <c r="AG124" i="5" l="1"/>
  <c r="AG123" i="5"/>
  <c r="AG122" i="5"/>
  <c r="AG121" i="5"/>
  <c r="AG120" i="5"/>
  <c r="AG119" i="5"/>
  <c r="AG118" i="5"/>
  <c r="AG117" i="5"/>
  <c r="AG125" i="5" l="1"/>
  <c r="AG126" i="5" l="1"/>
  <c r="AG127" i="5" s="1"/>
  <c r="N11" i="7" l="1"/>
  <c r="D12" i="7" l="1"/>
  <c r="I14" i="7" l="1"/>
  <c r="I16" i="7" l="1"/>
  <c r="I15" i="7"/>
  <c r="I13" i="7"/>
  <c r="I12" i="7"/>
  <c r="I11" i="7"/>
  <c r="D13" i="7"/>
  <c r="D14" i="7"/>
  <c r="D11" i="7" l="1"/>
  <c r="S11" i="7"/>
  <c r="N12" i="7"/>
  <c r="S12" i="7"/>
  <c r="N13" i="7"/>
  <c r="S13" i="7"/>
  <c r="N14" i="7"/>
  <c r="S14" i="7"/>
  <c r="N15" i="7"/>
  <c r="S15" i="7"/>
  <c r="N16" i="7"/>
  <c r="S16" i="7"/>
  <c r="N17" i="7"/>
  <c r="S17" i="7"/>
  <c r="S18" i="7"/>
  <c r="S19" i="7"/>
  <c r="S20" i="7"/>
  <c r="S21" i="7"/>
  <c r="S22" i="7"/>
  <c r="X22" i="7" l="1"/>
  <c r="X21" i="7" l="1"/>
  <c r="X20" i="7"/>
  <c r="X19" i="7"/>
  <c r="X18" i="7"/>
  <c r="X17" i="7"/>
  <c r="X16" i="7"/>
  <c r="X15" i="7"/>
  <c r="X14" i="7"/>
  <c r="X13" i="7"/>
  <c r="X12" i="7"/>
  <c r="X11" i="7"/>
  <c r="X23" i="7" l="1"/>
  <c r="S23" i="7"/>
  <c r="C7" i="8"/>
  <c r="C8" i="8"/>
  <c r="C9" i="8"/>
  <c r="O22" i="7" l="1"/>
  <c r="J22" i="7"/>
  <c r="E14" i="7"/>
  <c r="O14" i="7"/>
  <c r="E12" i="7"/>
  <c r="O12" i="7"/>
  <c r="J16" i="7"/>
  <c r="O20" i="7"/>
  <c r="J14" i="7"/>
  <c r="E18" i="7"/>
  <c r="O18" i="7"/>
  <c r="J12" i="7"/>
  <c r="E16" i="7"/>
  <c r="O16" i="7"/>
  <c r="J20" i="7"/>
  <c r="J18" i="7"/>
  <c r="E22" i="7"/>
  <c r="J21" i="7"/>
  <c r="E13" i="7"/>
  <c r="O11" i="7"/>
  <c r="O13" i="7"/>
  <c r="J13" i="7"/>
  <c r="E21" i="7"/>
  <c r="O19" i="7"/>
  <c r="O21" i="7"/>
  <c r="J11" i="7"/>
  <c r="E11" i="7"/>
  <c r="O17" i="7"/>
  <c r="J17" i="7"/>
  <c r="J19" i="7"/>
  <c r="E19" i="7"/>
  <c r="E20" i="7"/>
  <c r="J15" i="7"/>
  <c r="E15" i="7"/>
  <c r="E17" i="7"/>
  <c r="O15" i="7"/>
  <c r="Y22" i="7"/>
  <c r="T22" i="7"/>
  <c r="T14" i="7"/>
  <c r="Y21" i="7"/>
  <c r="T17" i="7"/>
  <c r="Y14" i="7"/>
  <c r="Y18" i="7"/>
  <c r="T18" i="7"/>
  <c r="Y11" i="7"/>
  <c r="Y20" i="7"/>
  <c r="Y12" i="7"/>
  <c r="T13" i="7"/>
  <c r="Y16" i="7"/>
  <c r="T20" i="7"/>
  <c r="Y19" i="7"/>
  <c r="T15" i="7"/>
  <c r="T11" i="7"/>
  <c r="Y17" i="7"/>
  <c r="Y13" i="7"/>
  <c r="T12" i="7"/>
  <c r="T16" i="7"/>
  <c r="T19" i="7"/>
  <c r="T21" i="7"/>
  <c r="Y15" i="7"/>
  <c r="Y23" i="7" l="1"/>
  <c r="T23" i="7"/>
  <c r="O23" i="7"/>
  <c r="E23" i="7"/>
  <c r="J23" i="7"/>
  <c r="AG128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Tierra Santa Holding</author>
  </authors>
  <commentList>
    <comment ref="C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Tierra Santa Holding:</t>
        </r>
        <r>
          <rPr>
            <sz val="9"/>
            <color indexed="81"/>
            <rFont val="Tahoma"/>
            <family val="2"/>
          </rPr>
          <t xml:space="preserve">
DEL 03 - 06 AL 02 -07
</t>
        </r>
      </text>
    </comment>
    <comment ref="C9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Tierra Santa Holding:</t>
        </r>
        <r>
          <rPr>
            <sz val="9"/>
            <color indexed="81"/>
            <rFont val="Tahoma"/>
            <family val="2"/>
          </rPr>
          <t xml:space="preserve">
HIJA</t>
        </r>
      </text>
    </comment>
    <comment ref="C17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Tierra Santa Holding:</t>
        </r>
        <r>
          <rPr>
            <sz val="9"/>
            <color indexed="81"/>
            <rFont val="Tahoma"/>
            <family val="2"/>
          </rPr>
          <t xml:space="preserve">
DEL 03 - 06 AL 02 -07
</t>
        </r>
      </text>
    </comment>
    <comment ref="C19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Tierra Santa Holding:</t>
        </r>
        <r>
          <rPr>
            <sz val="9"/>
            <color indexed="81"/>
            <rFont val="Tahoma"/>
            <family val="2"/>
          </rPr>
          <t xml:space="preserve">
DEL 03 - 06 AL 02 -07
</t>
        </r>
      </text>
    </comment>
    <comment ref="C20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Tierra Santa Holding:</t>
        </r>
        <r>
          <rPr>
            <sz val="9"/>
            <color indexed="81"/>
            <rFont val="Tahoma"/>
            <family val="2"/>
          </rPr>
          <t xml:space="preserve">
DM al 06-06</t>
        </r>
      </text>
    </comment>
    <comment ref="C47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Tierra Santa Holding:</t>
        </r>
        <r>
          <rPr>
            <sz val="9"/>
            <color indexed="81"/>
            <rFont val="Tahoma"/>
            <family val="2"/>
          </rPr>
          <t xml:space="preserve">
HASTA EL 13-07</t>
        </r>
      </text>
    </comment>
    <comment ref="C56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Tierra Santa Holding:</t>
        </r>
        <r>
          <rPr>
            <sz val="9"/>
            <color indexed="81"/>
            <rFont val="Tahoma"/>
            <family val="2"/>
          </rPr>
          <t xml:space="preserve">
03 AL 08 DE JUNIO</t>
        </r>
      </text>
    </comment>
    <comment ref="C63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Tierra Santa Holding:</t>
        </r>
        <r>
          <rPr>
            <sz val="9"/>
            <color indexed="81"/>
            <rFont val="Tahoma"/>
            <family val="2"/>
          </rPr>
          <t xml:space="preserve">
DEL 03 - 06 AL 02 -07
</t>
        </r>
      </text>
    </comment>
    <comment ref="C65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Tierra Santa Holding:</t>
        </r>
        <r>
          <rPr>
            <sz val="9"/>
            <color indexed="81"/>
            <rFont val="Tahoma"/>
            <family val="2"/>
          </rPr>
          <t xml:space="preserve">
DEL 03 - 06 AL 02 -07
</t>
        </r>
      </text>
    </comment>
    <comment ref="C83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Tierra Santa Holding:</t>
        </r>
        <r>
          <rPr>
            <sz val="9"/>
            <color indexed="81"/>
            <rFont val="Tahoma"/>
            <family val="2"/>
          </rPr>
          <t xml:space="preserve">
DEL 03 - 06 AL 02 -07
</t>
        </r>
      </text>
    </comment>
    <comment ref="C86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Tierra Santa Holding:</t>
        </r>
        <r>
          <rPr>
            <sz val="9"/>
            <color indexed="81"/>
            <rFont val="Tahoma"/>
            <family val="2"/>
          </rPr>
          <t xml:space="preserve">
del 06 al 12 de junio</t>
        </r>
      </text>
    </comment>
  </commentList>
</comments>
</file>

<file path=xl/sharedStrings.xml><?xml version="1.0" encoding="utf-8"?>
<sst xmlns="http://schemas.openxmlformats.org/spreadsheetml/2006/main" count="475" uniqueCount="208">
  <si>
    <t>LABORES</t>
  </si>
  <si>
    <t>PLANILLAS</t>
  </si>
  <si>
    <t>HORA INICIO</t>
  </si>
  <si>
    <t>HORA DE SALIDA</t>
  </si>
  <si>
    <t>T: Plantación pencas</t>
  </si>
  <si>
    <t>T: Enterrado de pencas</t>
  </si>
  <si>
    <t>T: Infestacion</t>
  </si>
  <si>
    <t>T: Reinfestada</t>
  </si>
  <si>
    <t>T: Llenado infestadores</t>
  </si>
  <si>
    <t>T: Colocación  sombra (palos y malla)</t>
  </si>
  <si>
    <t>T: Retiro sombra</t>
  </si>
  <si>
    <t>T: Poda - Cosecha</t>
  </si>
  <si>
    <t>T: Post - Cosecha</t>
  </si>
  <si>
    <t>T: Pre - Cosecha</t>
  </si>
  <si>
    <t>T: Pre - Poda</t>
  </si>
  <si>
    <t>T: Recogo y Vaciado de Infestadores</t>
  </si>
  <si>
    <t>T: Eliminacion de  brotes y Retiro de frutos</t>
  </si>
  <si>
    <t xml:space="preserve">T: Corte de pencas </t>
  </si>
  <si>
    <t>T: Ranqueo</t>
  </si>
  <si>
    <t>T:Llenado y traslado de pencas</t>
  </si>
  <si>
    <t>T:Lavado y parchado  de cinta</t>
  </si>
  <si>
    <t>T: Descarga de Pencas</t>
  </si>
  <si>
    <t>T: Reparto de Pencas</t>
  </si>
  <si>
    <t>T: Pruebas</t>
  </si>
  <si>
    <t>T: Clasificacion de Infestadores</t>
  </si>
  <si>
    <t>T: Retiro y recuperacion de cintas</t>
  </si>
  <si>
    <t>T: Traslado de Infestadores</t>
  </si>
  <si>
    <t>T: control de maleza manual (Deshierbo)</t>
  </si>
  <si>
    <t>TOTAL PLANILLAS</t>
  </si>
  <si>
    <t xml:space="preserve">TOTAL CUADRILLAS </t>
  </si>
  <si>
    <t>N°</t>
  </si>
  <si>
    <t>N° CUADRILLA</t>
  </si>
  <si>
    <t>REPORTE DIARIO DE TRABAJO</t>
  </si>
  <si>
    <t xml:space="preserve">TOTAL HORAS </t>
  </si>
  <si>
    <t>Almacen</t>
  </si>
  <si>
    <t>Encargados</t>
  </si>
  <si>
    <t>Establo</t>
  </si>
  <si>
    <t>T: Aplicación de herbicida (Deshierbo)</t>
  </si>
  <si>
    <t>Secretaria</t>
  </si>
  <si>
    <t>Descanso Medico</t>
  </si>
  <si>
    <t>Vacaciones</t>
  </si>
  <si>
    <t>T: Resiembra</t>
  </si>
  <si>
    <t>T: Riego</t>
  </si>
  <si>
    <t>Cocinera</t>
  </si>
  <si>
    <t>Tractorista</t>
  </si>
  <si>
    <t>Vigilancia</t>
  </si>
  <si>
    <t>Movilidad</t>
  </si>
  <si>
    <t>ASISTENCIA</t>
  </si>
  <si>
    <t>LABOR</t>
  </si>
  <si>
    <t>N° TSH …………….</t>
  </si>
  <si>
    <t>CAMPO</t>
  </si>
  <si>
    <t>Cuadrilla 1</t>
  </si>
  <si>
    <t>Cuadrilla 2</t>
  </si>
  <si>
    <t>Cuadrilla 3</t>
  </si>
  <si>
    <t>Cuadrilla 4</t>
  </si>
  <si>
    <t>Cuadrilla 5</t>
  </si>
  <si>
    <t>Cuadrilla 6</t>
  </si>
  <si>
    <t>FECHA :……………………………………</t>
  </si>
  <si>
    <t>Aroni Estrada, Eufracio</t>
  </si>
  <si>
    <t>Cañari Pucho, Guillermo</t>
  </si>
  <si>
    <t>Canchi Neyra, Juan</t>
  </si>
  <si>
    <t>Gonzalo Escobar,Guido</t>
  </si>
  <si>
    <t>Mamani Hancco, Fermin</t>
  </si>
  <si>
    <t>Pacara , Nestor</t>
  </si>
  <si>
    <t>Quispe Paye, Clemente</t>
  </si>
  <si>
    <t>Reynoso Gamero, Rufino</t>
  </si>
  <si>
    <t>Soncco Soncco, Santos</t>
  </si>
  <si>
    <t>Zea Mamani, Ignacio</t>
  </si>
  <si>
    <t>Palaco Retamozo, Alberto</t>
  </si>
  <si>
    <t>Mamani Idme, Andres</t>
  </si>
  <si>
    <t>Saldivar Perez Cirilo</t>
  </si>
  <si>
    <t>Aparicio Chacon, Clever</t>
  </si>
  <si>
    <t>Huaynacho Otazu, Donar</t>
  </si>
  <si>
    <t>Burgos Mendoza, Felix</t>
  </si>
  <si>
    <t>Aquino Gomez, Isabel</t>
  </si>
  <si>
    <t xml:space="preserve"> Cahuascanco Canchi, Lidia</t>
  </si>
  <si>
    <t xml:space="preserve"> Chire Machaca, Roxana</t>
  </si>
  <si>
    <t>Choquehuayta Estefania</t>
  </si>
  <si>
    <t xml:space="preserve"> Chuquitarqui Macedo, Nandy</t>
  </si>
  <si>
    <t xml:space="preserve"> Hancco Quispe, Raymunda</t>
  </si>
  <si>
    <t xml:space="preserve"> Idme Huaracallo, Gladis</t>
  </si>
  <si>
    <t xml:space="preserve"> Lerma Yanarico, Elena</t>
  </si>
  <si>
    <t xml:space="preserve"> Machaca Zapana, Nelly</t>
  </si>
  <si>
    <t xml:space="preserve"> Machaca Zapana, Saida</t>
  </si>
  <si>
    <t xml:space="preserve"> Mamani, Fermina</t>
  </si>
  <si>
    <t xml:space="preserve"> Marin Roque, Delia</t>
  </si>
  <si>
    <t xml:space="preserve"> Quispe  Paredes, Basilia</t>
  </si>
  <si>
    <t xml:space="preserve"> Tacca Huarachi, Martina</t>
  </si>
  <si>
    <t xml:space="preserve"> Zapana Apaza, Susana</t>
  </si>
  <si>
    <t xml:space="preserve"> Ccalla Gaspar, Guillermina</t>
  </si>
  <si>
    <t>Huaman Quispe, Karin</t>
  </si>
  <si>
    <t>Idme Huaracallo, Agustin</t>
  </si>
  <si>
    <t>Ayamanani Chura, Elver</t>
  </si>
  <si>
    <t>Lope Choquehuanca, Luis</t>
  </si>
  <si>
    <t>Lope Choquehuanca, Cirilo</t>
  </si>
  <si>
    <t>Mamani Mamani, Alejandro</t>
  </si>
  <si>
    <t>Mesco Mamani, Raul</t>
  </si>
  <si>
    <t>Mamani Idme, Vicente</t>
  </si>
  <si>
    <t>Apaza Tito, Patricia</t>
  </si>
  <si>
    <t>TOTAL HORAS</t>
  </si>
  <si>
    <t>T: Colocacion cinta.</t>
  </si>
  <si>
    <t>T: Reparacion de Conectores</t>
  </si>
  <si>
    <t>T: Aplicacion Sanitaria</t>
  </si>
  <si>
    <t>Porteria</t>
  </si>
  <si>
    <t>Atencion medica</t>
  </si>
  <si>
    <t>Otros</t>
  </si>
  <si>
    <t>Mamani Anconeira, Santos</t>
  </si>
  <si>
    <t>Ttito Tapara, Pascual</t>
  </si>
  <si>
    <t>Camones Zegarra, Lucio</t>
  </si>
  <si>
    <t xml:space="preserve">ENCARGADO:……………………………. </t>
  </si>
  <si>
    <t>CODIGO DE LABORES</t>
  </si>
  <si>
    <t>T: Traslado de Producto</t>
  </si>
  <si>
    <t>N : Cosecha</t>
  </si>
  <si>
    <t>T: Poda Sanitaria</t>
  </si>
  <si>
    <t>T: Traslado de Palos y Mallas</t>
  </si>
  <si>
    <t>A</t>
  </si>
  <si>
    <t>TOTAL PLANILLAS ASISTIDOS</t>
  </si>
  <si>
    <t>JORNALES</t>
  </si>
  <si>
    <t>REGISTRO DE TIEMPO DE RIEGO</t>
  </si>
  <si>
    <t>Fecha:</t>
  </si>
  <si>
    <t>Hr. Inicio:</t>
  </si>
  <si>
    <t>Hr. Fin:</t>
  </si>
  <si>
    <t>Encargado:</t>
  </si>
  <si>
    <t>NB</t>
  </si>
  <si>
    <t>NARANJOS</t>
  </si>
  <si>
    <t>Observaciones:</t>
  </si>
  <si>
    <t>N° CUADR.</t>
  </si>
  <si>
    <t>ASIST.</t>
  </si>
  <si>
    <t>APELLIDOS Y NOMBRES</t>
  </si>
  <si>
    <t xml:space="preserve">HORAS </t>
  </si>
  <si>
    <t xml:space="preserve">ALBERTO </t>
  </si>
  <si>
    <t>D</t>
  </si>
  <si>
    <t>D1</t>
  </si>
  <si>
    <t xml:space="preserve"> </t>
  </si>
  <si>
    <t>FDM</t>
  </si>
  <si>
    <t>Inicio</t>
  </si>
  <si>
    <t>Fin</t>
  </si>
  <si>
    <t>Total horas</t>
  </si>
  <si>
    <t>cuatro</t>
  </si>
  <si>
    <t>4,8</t>
  </si>
  <si>
    <t>B</t>
  </si>
  <si>
    <t>Hora de inicio</t>
  </si>
  <si>
    <t>Hora de finalización</t>
  </si>
  <si>
    <t>Fórmula</t>
  </si>
  <si>
    <t>Descripción (resultado)</t>
  </si>
  <si>
    <t>Horas transcurridas (4). Debe aplicar manualmente el formato personalizado "h" a la celda.</t>
  </si>
  <si>
    <t>Horas y minutos entre dos horas (4:55). Debe aplicar manualmente el formato personalizado "h:mm" a la celda.</t>
  </si>
  <si>
    <t>Horas, minutos y segundos transcurridos (4:55:00). Debe aplicar manualmente el formato personalizado "h:mm: SS" a la celda.</t>
  </si>
  <si>
    <t>= TEXTO (B2-a2, "h")</t>
  </si>
  <si>
    <r>
      <t>Horas transcurridas dos veces con la celda con el formato "h" mediante la función </t>
    </r>
    <r>
      <rPr>
        <b/>
        <sz val="17.600000000000001"/>
        <color rgb="FF2F2F2F"/>
        <rFont val="Segoe UI"/>
        <family val="2"/>
      </rPr>
      <t>texto</t>
    </r>
    <r>
      <rPr>
        <sz val="17.600000000000001"/>
        <color rgb="FF2F2F2F"/>
        <rFont val="Segoe UI"/>
        <family val="2"/>
      </rPr>
      <t> (4).</t>
    </r>
  </si>
  <si>
    <t>= TEXTO (B2-a2, "h:mm")</t>
  </si>
  <si>
    <r>
      <t>Horas y minutos entre dos horas con la celda con el formato "h:mm" mediante la función </t>
    </r>
    <r>
      <rPr>
        <b/>
        <sz val="17.600000000000001"/>
        <color rgb="FF2F2F2F"/>
        <rFont val="Segoe UI"/>
        <family val="2"/>
      </rPr>
      <t>texto</t>
    </r>
    <r>
      <rPr>
        <sz val="17.600000000000001"/>
        <color rgb="FF2F2F2F"/>
        <rFont val="Segoe UI"/>
        <family val="2"/>
      </rPr>
      <t> (4:55).</t>
    </r>
  </si>
  <si>
    <t>= TEXTO (B2-a2, "h:mm: SS")</t>
  </si>
  <si>
    <r>
      <t>Horas, minutos y segundos entre dos horas con la celda con el formato "h:mm: SS" mediante la función </t>
    </r>
    <r>
      <rPr>
        <b/>
        <sz val="17.600000000000001"/>
        <color rgb="FF2F2F2F"/>
        <rFont val="Segoe UI"/>
        <family val="2"/>
      </rPr>
      <t>texto</t>
    </r>
    <r>
      <rPr>
        <sz val="17.600000000000001"/>
        <color rgb="FF2F2F2F"/>
        <rFont val="Segoe UI"/>
        <family val="2"/>
      </rPr>
      <t> (4:55:00).</t>
    </r>
  </si>
  <si>
    <t>Tiempo de Riego Sistema</t>
  </si>
  <si>
    <t>Tiempo de Riego Historial</t>
  </si>
  <si>
    <t>TOTAL HORAS JORNAL</t>
  </si>
  <si>
    <t>TOTAL HORAS RIEGO POR DIA</t>
  </si>
  <si>
    <t xml:space="preserve">Cuadrilla  </t>
  </si>
  <si>
    <t xml:space="preserve">cuadrilla  </t>
  </si>
  <si>
    <t xml:space="preserve">cuadrilla   </t>
  </si>
  <si>
    <t xml:space="preserve">Cuadrilla   </t>
  </si>
  <si>
    <t>CUADRILLAS</t>
  </si>
  <si>
    <t>F1</t>
  </si>
  <si>
    <t>TOTAL LICENCIA MATERNIDAD</t>
  </si>
  <si>
    <t>TOTAL LICENCIA SIN GOCE</t>
  </si>
  <si>
    <t>TOTAL LICENCIA CON GOCE</t>
  </si>
  <si>
    <t>TOTAL DESCANSO MEDICO</t>
  </si>
  <si>
    <t>TOTAL ATENCION MEDICA</t>
  </si>
  <si>
    <t>TOTAL  FALTAS</t>
  </si>
  <si>
    <t>TOTAL  VACACIONES</t>
  </si>
  <si>
    <t>A6</t>
  </si>
  <si>
    <t>D3</t>
  </si>
  <si>
    <t>B8</t>
  </si>
  <si>
    <t>D4</t>
  </si>
  <si>
    <t>C4</t>
  </si>
  <si>
    <t>CÓDIGO</t>
  </si>
  <si>
    <t>Flavia</t>
  </si>
  <si>
    <t>Se acumulo para tal fecha, etc.</t>
  </si>
  <si>
    <t>A1</t>
  </si>
  <si>
    <t>A2</t>
  </si>
  <si>
    <t>A3</t>
  </si>
  <si>
    <t>A4</t>
  </si>
  <si>
    <t>A5</t>
  </si>
  <si>
    <t>A7</t>
  </si>
  <si>
    <t>A8</t>
  </si>
  <si>
    <t>A9</t>
  </si>
  <si>
    <t>A10</t>
  </si>
  <si>
    <t>A11</t>
  </si>
  <si>
    <t>B1</t>
  </si>
  <si>
    <t>B2</t>
  </si>
  <si>
    <t>B3</t>
  </si>
  <si>
    <t>B4</t>
  </si>
  <si>
    <t>B5</t>
  </si>
  <si>
    <t>B6</t>
  </si>
  <si>
    <t>B7</t>
  </si>
  <si>
    <t>B9</t>
  </si>
  <si>
    <t>B10</t>
  </si>
  <si>
    <t>B11</t>
  </si>
  <si>
    <t>C1</t>
  </si>
  <si>
    <t>C2</t>
  </si>
  <si>
    <t>C3</t>
  </si>
  <si>
    <t>E3</t>
  </si>
  <si>
    <t>Limonero3</t>
  </si>
  <si>
    <t>Limonero5</t>
  </si>
  <si>
    <t>Limonero4</t>
  </si>
  <si>
    <t>REPORTE DIARIO DE TRABAJO - CUADRILLA</t>
  </si>
  <si>
    <t>LABORES RIEGO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</si>
</sst>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-* #,##0.00\ _€_-;\-* #,##0.00\ _€_-;_-* &quot;-&quot;??\ _€_-;_-@_-"/>
    <numFmt numFmtId="166" formatCode="_-* #,##0.00\ &quot;€&quot;_-;\-* #,##0.00\ &quot;€&quot;_-;_-* &quot;-&quot;??\ &quot;€&quot;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24"/>
      <color theme="1"/>
      <name val="Algerian"/>
      <family val="5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1"/>
      <name val="Cambria"/>
      <family val="1"/>
      <scheme val="major"/>
    </font>
    <font>
      <sz val="2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7.600000000000001"/>
      <color rgb="FF2F2F2F"/>
      <name val="Segoe UI"/>
      <family val="2"/>
    </font>
    <font>
      <b/>
      <sz val="17.600000000000001"/>
      <color rgb="FF2F2F2F"/>
      <name val="Segoe UI"/>
      <family val="2"/>
    </font>
    <font>
      <b/>
      <sz val="17.600000000000001"/>
      <color rgb="FF393939"/>
      <name val="Segoe UI"/>
      <family val="2"/>
    </font>
    <font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/>
      <diagonal/>
    </border>
    <border>
      <left/>
      <right/>
      <top/>
      <bottom style="medium">
        <color rgb="FFCCCCCC"/>
      </bottom>
      <diagonal/>
    </border>
  </borders>
  <cellStyleXfs count="227">
    <xf numFmtId="0" fontId="0" fillId="0" borderId="0"/>
    <xf numFmtId="0" fontId="3" fillId="0" borderId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0" fontId="3" fillId="0" borderId="0"/>
    <xf numFmtId="0" fontId="1" fillId="0" borderId="0"/>
    <xf numFmtId="0" fontId="3" fillId="0" borderId="0"/>
    <xf numFmtId="165" fontId="3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" fillId="0" borderId="0"/>
    <xf numFmtId="166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" fillId="0" borderId="0"/>
    <xf numFmtId="0" fontId="1" fillId="0" borderId="0"/>
    <xf numFmtId="166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3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3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3" fillId="0" borderId="0"/>
  </cellStyleXfs>
  <cellXfs count="184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6" xfId="0" applyBorder="1" applyAlignment="1">
      <alignment horizontal="center"/>
    </xf>
    <xf numFmtId="0" fontId="4" fillId="2" borderId="10" xfId="0" applyFont="1" applyFill="1" applyBorder="1"/>
    <xf numFmtId="0" fontId="4" fillId="2" borderId="11" xfId="0" applyFont="1" applyFill="1" applyBorder="1"/>
    <xf numFmtId="0" fontId="4" fillId="2" borderId="12" xfId="0" applyFont="1" applyFill="1" applyBorder="1"/>
    <xf numFmtId="0" fontId="4" fillId="2" borderId="13" xfId="0" applyFont="1" applyFill="1" applyBorder="1"/>
    <xf numFmtId="0" fontId="5" fillId="0" borderId="7" xfId="0" applyFont="1" applyBorder="1"/>
    <xf numFmtId="0" fontId="4" fillId="2" borderId="15" xfId="0" applyFont="1" applyFill="1" applyBorder="1"/>
    <xf numFmtId="0" fontId="4" fillId="2" borderId="16" xfId="0" applyFont="1" applyFill="1" applyBorder="1"/>
    <xf numFmtId="0" fontId="4" fillId="2" borderId="17" xfId="0" applyFont="1" applyFill="1" applyBorder="1"/>
    <xf numFmtId="0" fontId="4" fillId="2" borderId="18" xfId="0" applyFont="1" applyFill="1" applyBorder="1"/>
    <xf numFmtId="0" fontId="4" fillId="2" borderId="19" xfId="0" applyFont="1" applyFill="1" applyBorder="1"/>
    <xf numFmtId="0" fontId="4" fillId="2" borderId="20" xfId="0" applyFont="1" applyFill="1" applyBorder="1"/>
    <xf numFmtId="0" fontId="4" fillId="2" borderId="21" xfId="0" applyFont="1" applyFill="1" applyBorder="1"/>
    <xf numFmtId="0" fontId="4" fillId="2" borderId="22" xfId="0" applyFont="1" applyFill="1" applyBorder="1"/>
    <xf numFmtId="0" fontId="4" fillId="2" borderId="23" xfId="0" applyFont="1" applyFill="1" applyBorder="1"/>
    <xf numFmtId="0" fontId="4" fillId="2" borderId="26" xfId="0" applyFont="1" applyFill="1" applyBorder="1"/>
    <xf numFmtId="0" fontId="4" fillId="2" borderId="27" xfId="0" applyFont="1" applyFill="1" applyBorder="1"/>
    <xf numFmtId="0" fontId="4" fillId="2" borderId="28" xfId="0" applyFont="1" applyFill="1" applyBorder="1"/>
    <xf numFmtId="0" fontId="4" fillId="2" borderId="29" xfId="0" applyFont="1" applyFill="1" applyBorder="1"/>
    <xf numFmtId="0" fontId="6" fillId="2" borderId="31" xfId="0" applyFont="1" applyFill="1" applyBorder="1"/>
    <xf numFmtId="0" fontId="6" fillId="2" borderId="32" xfId="0" applyFont="1" applyFill="1" applyBorder="1"/>
    <xf numFmtId="0" fontId="6" fillId="2" borderId="32" xfId="0" applyFont="1" applyFill="1" applyBorder="1" applyAlignment="1">
      <alignment horizontal="left"/>
    </xf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1" xfId="0" applyBorder="1"/>
    <xf numFmtId="0" fontId="0" fillId="0" borderId="8" xfId="0" applyBorder="1" applyAlignment="1">
      <alignment horizontal="center"/>
    </xf>
    <xf numFmtId="0" fontId="5" fillId="0" borderId="8" xfId="0" applyFont="1" applyBorder="1"/>
    <xf numFmtId="0" fontId="6" fillId="2" borderId="34" xfId="0" applyFont="1" applyFill="1" applyBorder="1" applyAlignment="1">
      <alignment horizontal="left"/>
    </xf>
    <xf numFmtId="0" fontId="4" fillId="2" borderId="40" xfId="0" applyFont="1" applyFill="1" applyBorder="1"/>
    <xf numFmtId="0" fontId="8" fillId="0" borderId="9" xfId="0" applyFont="1" applyBorder="1"/>
    <xf numFmtId="0" fontId="6" fillId="2" borderId="43" xfId="0" applyFont="1" applyFill="1" applyBorder="1" applyAlignment="1">
      <alignment horizontal="left"/>
    </xf>
    <xf numFmtId="0" fontId="4" fillId="2" borderId="44" xfId="0" applyFont="1" applyFill="1" applyBorder="1"/>
    <xf numFmtId="0" fontId="4" fillId="2" borderId="45" xfId="0" applyFont="1" applyFill="1" applyBorder="1"/>
    <xf numFmtId="0" fontId="6" fillId="2" borderId="46" xfId="0" applyFont="1" applyFill="1" applyBorder="1" applyAlignment="1">
      <alignment horizontal="left"/>
    </xf>
    <xf numFmtId="0" fontId="4" fillId="2" borderId="47" xfId="0" applyFont="1" applyFill="1" applyBorder="1"/>
    <xf numFmtId="0" fontId="4" fillId="2" borderId="48" xfId="0" applyFont="1" applyFill="1" applyBorder="1"/>
    <xf numFmtId="0" fontId="4" fillId="2" borderId="49" xfId="0" applyFont="1" applyFill="1" applyBorder="1"/>
    <xf numFmtId="0" fontId="4" fillId="2" borderId="50" xfId="0" applyFont="1" applyFill="1" applyBorder="1"/>
    <xf numFmtId="0" fontId="0" fillId="0" borderId="51" xfId="0" applyBorder="1"/>
    <xf numFmtId="0" fontId="6" fillId="2" borderId="33" xfId="0" applyFont="1" applyFill="1" applyBorder="1" applyAlignment="1">
      <alignment horizontal="left"/>
    </xf>
    <xf numFmtId="0" fontId="8" fillId="0" borderId="6" xfId="0" applyFont="1" applyBorder="1" applyAlignment="1">
      <alignment horizontal="center"/>
    </xf>
    <xf numFmtId="0" fontId="8" fillId="0" borderId="7" xfId="0" applyFont="1" applyBorder="1"/>
    <xf numFmtId="0" fontId="8" fillId="0" borderId="0" xfId="0" applyFont="1"/>
    <xf numFmtId="0" fontId="12" fillId="2" borderId="24" xfId="0" applyFont="1" applyFill="1" applyBorder="1"/>
    <xf numFmtId="0" fontId="8" fillId="0" borderId="7" xfId="0" applyFont="1" applyBorder="1" applyAlignment="1">
      <alignment horizontal="center"/>
    </xf>
    <xf numFmtId="0" fontId="8" fillId="0" borderId="14" xfId="0" applyFont="1" applyBorder="1"/>
    <xf numFmtId="0" fontId="12" fillId="2" borderId="25" xfId="0" applyFont="1" applyFill="1" applyBorder="1"/>
    <xf numFmtId="0" fontId="12" fillId="2" borderId="41" xfId="0" applyFont="1" applyFill="1" applyBorder="1"/>
    <xf numFmtId="0" fontId="8" fillId="0" borderId="3" xfId="0" applyFont="1" applyBorder="1"/>
    <xf numFmtId="0" fontId="8" fillId="0" borderId="2" xfId="0" applyFont="1" applyBorder="1"/>
    <xf numFmtId="0" fontId="9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0" fontId="9" fillId="0" borderId="35" xfId="0" applyFont="1" applyBorder="1" applyAlignment="1">
      <alignment horizontal="center" vertical="center" wrapText="1"/>
    </xf>
    <xf numFmtId="0" fontId="11" fillId="0" borderId="0" xfId="0" applyFont="1" applyAlignment="1">
      <alignment horizontal="left"/>
    </xf>
    <xf numFmtId="0" fontId="8" fillId="0" borderId="52" xfId="0" applyFont="1" applyBorder="1"/>
    <xf numFmtId="0" fontId="12" fillId="2" borderId="24" xfId="0" applyFont="1" applyFill="1" applyBorder="1" applyAlignment="1">
      <alignment horizontal="left"/>
    </xf>
    <xf numFmtId="0" fontId="12" fillId="2" borderId="42" xfId="0" applyFont="1" applyFill="1" applyBorder="1"/>
    <xf numFmtId="0" fontId="12" fillId="2" borderId="30" xfId="0" applyFont="1" applyFill="1" applyBorder="1"/>
    <xf numFmtId="0" fontId="8" fillId="0" borderId="53" xfId="0" applyFont="1" applyBorder="1"/>
    <xf numFmtId="0" fontId="10" fillId="0" borderId="0" xfId="0" applyFont="1" applyAlignment="1">
      <alignment horizontal="center"/>
    </xf>
    <xf numFmtId="0" fontId="0" fillId="0" borderId="54" xfId="0" applyBorder="1"/>
    <xf numFmtId="2" fontId="0" fillId="0" borderId="0" xfId="0" applyNumberForma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19" xfId="0" applyFont="1" applyBorder="1" applyAlignment="1">
      <alignment horizontal="center"/>
    </xf>
    <xf numFmtId="14" fontId="0" fillId="0" borderId="0" xfId="0" applyNumberFormat="1"/>
    <xf numFmtId="2" fontId="0" fillId="0" borderId="19" xfId="0" applyNumberFormat="1" applyBorder="1" applyAlignment="1">
      <alignment horizontal="center"/>
    </xf>
    <xf numFmtId="20" fontId="0" fillId="0" borderId="19" xfId="0" applyNumberFormat="1" applyBorder="1" applyAlignment="1">
      <alignment horizontal="center"/>
    </xf>
    <xf numFmtId="0" fontId="17" fillId="5" borderId="56" xfId="0" applyFont="1" applyFill="1" applyBorder="1" applyAlignment="1">
      <alignment horizontal="left" vertical="center" wrapText="1" indent="1"/>
    </xf>
    <xf numFmtId="0" fontId="0" fillId="5" borderId="57" xfId="0" applyFill="1" applyBorder="1" applyAlignment="1">
      <alignment horizontal="left" vertical="center" wrapText="1" indent="1"/>
    </xf>
    <xf numFmtId="0" fontId="17" fillId="5" borderId="58" xfId="0" applyFont="1" applyFill="1" applyBorder="1" applyAlignment="1">
      <alignment horizontal="left" vertical="center" wrapText="1" indent="1"/>
    </xf>
    <xf numFmtId="3" fontId="17" fillId="5" borderId="58" xfId="0" applyNumberFormat="1" applyFont="1" applyFill="1" applyBorder="1" applyAlignment="1">
      <alignment horizontal="left" vertical="center" wrapText="1" indent="1"/>
    </xf>
    <xf numFmtId="0" fontId="18" fillId="6" borderId="56" xfId="0" applyFont="1" applyFill="1" applyBorder="1" applyAlignment="1">
      <alignment horizontal="left" vertical="center" wrapText="1"/>
    </xf>
    <xf numFmtId="22" fontId="16" fillId="5" borderId="56" xfId="0" applyNumberFormat="1" applyFont="1" applyFill="1" applyBorder="1" applyAlignment="1">
      <alignment horizontal="left" vertical="center" wrapText="1" indent="1"/>
    </xf>
    <xf numFmtId="0" fontId="16" fillId="5" borderId="56" xfId="0" applyFont="1" applyFill="1" applyBorder="1" applyAlignment="1">
      <alignment horizontal="left" vertical="center" wrapText="1" indent="1"/>
    </xf>
    <xf numFmtId="20" fontId="0" fillId="2" borderId="19" xfId="0" applyNumberFormat="1" applyFill="1" applyBorder="1" applyAlignment="1">
      <alignment horizontal="center"/>
    </xf>
    <xf numFmtId="0" fontId="2" fillId="8" borderId="55" xfId="0" applyFont="1" applyFill="1" applyBorder="1" applyAlignment="1">
      <alignment horizontal="center" vertical="center" wrapText="1"/>
    </xf>
    <xf numFmtId="0" fontId="2" fillId="8" borderId="19" xfId="0" applyFont="1" applyFill="1" applyBorder="1" applyAlignment="1">
      <alignment horizontal="center"/>
    </xf>
    <xf numFmtId="20" fontId="0" fillId="8" borderId="19" xfId="0" applyNumberFormat="1" applyFill="1" applyBorder="1" applyAlignment="1">
      <alignment horizontal="center"/>
    </xf>
    <xf numFmtId="0" fontId="2" fillId="8" borderId="19" xfId="0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20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20" fontId="0" fillId="0" borderId="0" xfId="0" applyNumberFormat="1"/>
    <xf numFmtId="1" fontId="4" fillId="0" borderId="19" xfId="0" applyNumberFormat="1" applyFont="1" applyBorder="1" applyAlignment="1">
      <alignment horizontal="center"/>
    </xf>
    <xf numFmtId="2" fontId="4" fillId="0" borderId="19" xfId="0" applyNumberFormat="1" applyFont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2" fontId="4" fillId="2" borderId="19" xfId="0" applyNumberFormat="1" applyFont="1" applyFill="1" applyBorder="1" applyAlignment="1">
      <alignment horizontal="center"/>
    </xf>
    <xf numFmtId="1" fontId="4" fillId="2" borderId="19" xfId="0" applyNumberFormat="1" applyFont="1" applyFill="1" applyBorder="1" applyAlignment="1">
      <alignment horizontal="center"/>
    </xf>
    <xf numFmtId="0" fontId="4" fillId="0" borderId="19" xfId="0" applyFont="1" applyBorder="1" applyAlignment="1">
      <alignment horizontal="center"/>
    </xf>
    <xf numFmtId="20" fontId="2" fillId="0" borderId="0" xfId="0" applyNumberFormat="1" applyFont="1" applyAlignment="1">
      <alignment horizontal="center"/>
    </xf>
    <xf numFmtId="0" fontId="14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20" fontId="2" fillId="3" borderId="0" xfId="0" applyNumberFormat="1" applyFont="1" applyFill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1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2" fillId="7" borderId="55" xfId="0" applyFont="1" applyFill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0" fillId="5" borderId="57" xfId="0" applyFill="1" applyBorder="1" applyAlignment="1">
      <alignment vertical="top" wrapText="1" indent="1"/>
    </xf>
    <xf numFmtId="0" fontId="0" fillId="5" borderId="0" xfId="0" applyFill="1" applyAlignment="1">
      <alignment vertical="top" wrapText="1" indent="1"/>
    </xf>
    <xf numFmtId="0" fontId="0" fillId="5" borderId="58" xfId="0" applyFill="1" applyBorder="1" applyAlignment="1">
      <alignment vertical="top" wrapText="1" indent="1"/>
    </xf>
    <xf numFmtId="0" fontId="0" fillId="0" borderId="0" xfId="0" applyFont="1"/>
    <xf numFmtId="0" fontId="0" fillId="0" borderId="0" xfId="0" applyFont="1" applyBorder="1" applyAlignment="1">
      <alignment horizontal="center"/>
    </xf>
    <xf numFmtId="0" fontId="24" fillId="0" borderId="0" xfId="0" applyFont="1" applyBorder="1"/>
    <xf numFmtId="2" fontId="4" fillId="0" borderId="0" xfId="0" applyNumberFormat="1" applyFont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2" fontId="4" fillId="2" borderId="0" xfId="0" applyNumberFormat="1" applyFont="1" applyFill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0" fillId="0" borderId="0" xfId="0" applyFont="1" applyBorder="1"/>
    <xf numFmtId="2" fontId="0" fillId="0" borderId="0" xfId="0" applyNumberFormat="1" applyFont="1" applyBorder="1"/>
    <xf numFmtId="2" fontId="0" fillId="0" borderId="0" xfId="0" applyNumberFormat="1" applyFont="1" applyBorder="1" applyAlignment="1">
      <alignment horizontal="center"/>
    </xf>
    <xf numFmtId="0" fontId="24" fillId="3" borderId="0" xfId="0" applyFont="1" applyFill="1" applyBorder="1"/>
    <xf numFmtId="0" fontId="0" fillId="3" borderId="0" xfId="0" applyFont="1" applyFill="1" applyBorder="1"/>
    <xf numFmtId="0" fontId="0" fillId="9" borderId="0" xfId="0" applyFont="1" applyFill="1" applyBorder="1"/>
    <xf numFmtId="0" fontId="24" fillId="4" borderId="0" xfId="0" applyFont="1" applyFill="1" applyBorder="1"/>
    <xf numFmtId="0" fontId="0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2" fontId="2" fillId="0" borderId="0" xfId="0" applyNumberFormat="1" applyFont="1" applyBorder="1" applyAlignment="1">
      <alignment horizontal="center" vertical="center"/>
    </xf>
    <xf numFmtId="0" fontId="26" fillId="0" borderId="19" xfId="0" applyFont="1" applyBorder="1"/>
    <xf numFmtId="0" fontId="27" fillId="0" borderId="19" xfId="0" applyFont="1" applyBorder="1" applyAlignment="1">
      <alignment horizontal="center"/>
    </xf>
    <xf numFmtId="0" fontId="4" fillId="0" borderId="19" xfId="0" applyFont="1" applyBorder="1"/>
    <xf numFmtId="2" fontId="0" fillId="0" borderId="19" xfId="0" applyNumberFormat="1" applyFont="1" applyBorder="1" applyAlignment="1">
      <alignment horizontal="center"/>
    </xf>
    <xf numFmtId="0" fontId="26" fillId="0" borderId="19" xfId="0" applyFont="1" applyBorder="1" applyAlignment="1">
      <alignment horizontal="left"/>
    </xf>
    <xf numFmtId="0" fontId="26" fillId="0" borderId="19" xfId="0" applyFont="1" applyBorder="1" applyAlignment="1">
      <alignment horizontal="center"/>
    </xf>
    <xf numFmtId="0" fontId="24" fillId="0" borderId="19" xfId="0" applyFont="1" applyBorder="1" applyAlignment="1">
      <alignment horizontal="center"/>
    </xf>
    <xf numFmtId="2" fontId="4" fillId="0" borderId="19" xfId="0" applyNumberFormat="1" applyFont="1" applyBorder="1"/>
    <xf numFmtId="1" fontId="26" fillId="0" borderId="19" xfId="0" applyNumberFormat="1" applyFont="1" applyBorder="1"/>
    <xf numFmtId="0" fontId="26" fillId="10" borderId="19" xfId="0" applyFont="1" applyFill="1" applyBorder="1"/>
    <xf numFmtId="0" fontId="26" fillId="10" borderId="19" xfId="0" applyFont="1" applyFill="1" applyBorder="1" applyAlignment="1">
      <alignment horizontal="center"/>
    </xf>
    <xf numFmtId="0" fontId="4" fillId="10" borderId="19" xfId="0" applyFont="1" applyFill="1" applyBorder="1" applyAlignment="1">
      <alignment horizontal="center"/>
    </xf>
    <xf numFmtId="0" fontId="19" fillId="10" borderId="19" xfId="0" applyFont="1" applyFill="1" applyBorder="1" applyAlignment="1">
      <alignment horizontal="center"/>
    </xf>
    <xf numFmtId="2" fontId="0" fillId="0" borderId="0" xfId="0" applyNumberFormat="1" applyFont="1" applyFill="1" applyBorder="1"/>
    <xf numFmtId="2" fontId="4" fillId="0" borderId="19" xfId="0" applyNumberFormat="1" applyFont="1" applyFill="1" applyBorder="1" applyAlignment="1">
      <alignment horizontal="center"/>
    </xf>
    <xf numFmtId="0" fontId="4" fillId="0" borderId="19" xfId="0" applyFont="1" applyFill="1" applyBorder="1" applyAlignment="1">
      <alignment horizontal="center"/>
    </xf>
    <xf numFmtId="1" fontId="4" fillId="0" borderId="19" xfId="0" applyNumberFormat="1" applyFont="1" applyFill="1" applyBorder="1" applyAlignment="1">
      <alignment horizontal="center"/>
    </xf>
    <xf numFmtId="2" fontId="4" fillId="0" borderId="0" xfId="0" applyNumberFormat="1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0" fillId="0" borderId="0" xfId="0" applyFont="1" applyFill="1" applyBorder="1"/>
    <xf numFmtId="0" fontId="0" fillId="2" borderId="0" xfId="0" applyFont="1" applyFill="1" applyBorder="1"/>
    <xf numFmtId="2" fontId="0" fillId="2" borderId="0" xfId="0" applyNumberFormat="1" applyFont="1" applyFill="1" applyBorder="1"/>
    <xf numFmtId="0" fontId="2" fillId="10" borderId="19" xfId="0" applyFont="1" applyFill="1" applyBorder="1" applyAlignment="1">
      <alignment horizontal="center" vertical="center" wrapText="1"/>
    </xf>
    <xf numFmtId="2" fontId="2" fillId="10" borderId="19" xfId="0" applyNumberFormat="1" applyFont="1" applyFill="1" applyBorder="1" applyAlignment="1">
      <alignment horizontal="center" vertical="center" wrapText="1"/>
    </xf>
    <xf numFmtId="0" fontId="2" fillId="10" borderId="0" xfId="0" applyFont="1" applyFill="1" applyBorder="1" applyAlignment="1">
      <alignment wrapText="1"/>
    </xf>
    <xf numFmtId="0" fontId="0" fillId="11" borderId="0" xfId="0" applyFont="1" applyFill="1" applyBorder="1"/>
    <xf numFmtId="2" fontId="0" fillId="11" borderId="0" xfId="0" applyNumberFormat="1" applyFont="1" applyFill="1" applyBorder="1"/>
    <xf numFmtId="1" fontId="4" fillId="11" borderId="19" xfId="0" applyNumberFormat="1" applyFont="1" applyFill="1" applyBorder="1" applyAlignment="1">
      <alignment horizontal="center"/>
    </xf>
    <xf numFmtId="2" fontId="4" fillId="11" borderId="19" xfId="0" applyNumberFormat="1" applyFont="1" applyFill="1" applyBorder="1" applyAlignment="1">
      <alignment horizontal="center"/>
    </xf>
    <xf numFmtId="1" fontId="21" fillId="11" borderId="19" xfId="0" applyNumberFormat="1" applyFont="1" applyFill="1" applyBorder="1" applyAlignment="1">
      <alignment horizontal="center"/>
    </xf>
    <xf numFmtId="0" fontId="4" fillId="11" borderId="19" xfId="0" applyFont="1" applyFill="1" applyBorder="1" applyAlignment="1">
      <alignment horizontal="center"/>
    </xf>
    <xf numFmtId="1" fontId="0" fillId="11" borderId="19" xfId="0" applyNumberFormat="1" applyFont="1" applyFill="1" applyBorder="1" applyAlignment="1">
      <alignment horizontal="center"/>
    </xf>
    <xf numFmtId="0" fontId="13" fillId="11" borderId="0" xfId="0" applyFont="1" applyFill="1" applyBorder="1"/>
    <xf numFmtId="0" fontId="15" fillId="11" borderId="0" xfId="0" applyFont="1" applyFill="1" applyBorder="1"/>
    <xf numFmtId="0" fontId="2" fillId="12" borderId="19" xfId="0" applyFont="1" applyFill="1" applyBorder="1" applyAlignment="1">
      <alignment horizontal="center" vertical="center" wrapText="1"/>
    </xf>
    <xf numFmtId="2" fontId="2" fillId="12" borderId="19" xfId="0" applyNumberFormat="1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9" fillId="0" borderId="0" xfId="0" applyFont="1" applyFill="1" applyBorder="1" applyAlignment="1"/>
    <xf numFmtId="0" fontId="25" fillId="0" borderId="0" xfId="0" applyFont="1" applyBorder="1" applyAlignment="1"/>
    <xf numFmtId="0" fontId="5" fillId="0" borderId="0" xfId="0" applyFont="1" applyFill="1" applyBorder="1" applyAlignment="1">
      <alignment vertical="top"/>
    </xf>
    <xf numFmtId="14" fontId="5" fillId="0" borderId="0" xfId="0" applyNumberFormat="1" applyFont="1" applyFill="1" applyBorder="1" applyAlignment="1">
      <alignment vertical="top"/>
    </xf>
    <xf numFmtId="0" fontId="9" fillId="0" borderId="0" xfId="0" applyFont="1" applyFill="1" applyBorder="1" applyAlignment="1">
      <alignment horizontal="center" vertical="center"/>
    </xf>
    <xf numFmtId="14" fontId="5" fillId="0" borderId="0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4" fillId="0" borderId="0" xfId="0" applyFont="1" applyBorder="1" applyAlignment="1">
      <alignment horizontal="left" vertical="center"/>
    </xf>
    <xf numFmtId="0" fontId="24" fillId="0" borderId="0" xfId="0" applyFont="1" applyBorder="1" applyAlignment="1">
      <alignment horizontal="left"/>
    </xf>
  </cellXfs>
  <cellStyles count="227">
    <cellStyle name="Euro" xfId="15" xr:uid="{00000000-0005-0000-0000-000000000000}"/>
    <cellStyle name="Millares 2" xfId="3" xr:uid="{00000000-0005-0000-0000-000001000000}"/>
    <cellStyle name="Millares 2 2" xfId="12" xr:uid="{00000000-0005-0000-0000-000002000000}"/>
    <cellStyle name="Millares 2 3" xfId="21" xr:uid="{00000000-0005-0000-0000-000003000000}"/>
    <cellStyle name="Millares 2 3 2" xfId="24" xr:uid="{00000000-0005-0000-0000-000004000000}"/>
    <cellStyle name="Millares 2 4" xfId="36" xr:uid="{00000000-0005-0000-0000-000005000000}"/>
    <cellStyle name="Millares 2 4 2" xfId="61" xr:uid="{00000000-0005-0000-0000-000006000000}"/>
    <cellStyle name="Millares 2 4 2 2" xfId="155" xr:uid="{00000000-0005-0000-0000-000007000000}"/>
    <cellStyle name="Millares 2 4 3" xfId="84" xr:uid="{00000000-0005-0000-0000-000008000000}"/>
    <cellStyle name="Millares 2 4 3 2" xfId="178" xr:uid="{00000000-0005-0000-0000-000009000000}"/>
    <cellStyle name="Millares 2 4 4" xfId="107" xr:uid="{00000000-0005-0000-0000-00000A000000}"/>
    <cellStyle name="Millares 2 4 4 2" xfId="201" xr:uid="{00000000-0005-0000-0000-00000B000000}"/>
    <cellStyle name="Millares 2 4 5" xfId="132" xr:uid="{00000000-0005-0000-0000-00000C000000}"/>
    <cellStyle name="Millares 2 4 6" xfId="225" xr:uid="{00000000-0005-0000-0000-00000D000000}"/>
    <cellStyle name="Millares 3" xfId="8" xr:uid="{00000000-0005-0000-0000-00000E000000}"/>
    <cellStyle name="Millares 4" xfId="10" xr:uid="{00000000-0005-0000-0000-00000F000000}"/>
    <cellStyle name="Millares 4 2" xfId="20" xr:uid="{00000000-0005-0000-0000-000010000000}"/>
    <cellStyle name="Millares 4 2 2" xfId="26" xr:uid="{00000000-0005-0000-0000-000011000000}"/>
    <cellStyle name="Millares 4 2 2 2" xfId="51" xr:uid="{00000000-0005-0000-0000-000012000000}"/>
    <cellStyle name="Millares 4 2 2 2 2" xfId="145" xr:uid="{00000000-0005-0000-0000-000013000000}"/>
    <cellStyle name="Millares 4 2 2 3" xfId="74" xr:uid="{00000000-0005-0000-0000-000014000000}"/>
    <cellStyle name="Millares 4 2 2 3 2" xfId="168" xr:uid="{00000000-0005-0000-0000-000015000000}"/>
    <cellStyle name="Millares 4 2 2 4" xfId="97" xr:uid="{00000000-0005-0000-0000-000016000000}"/>
    <cellStyle name="Millares 4 2 2 4 2" xfId="191" xr:uid="{00000000-0005-0000-0000-000017000000}"/>
    <cellStyle name="Millares 4 2 2 5" xfId="122" xr:uid="{00000000-0005-0000-0000-000018000000}"/>
    <cellStyle name="Millares 4 2 2 6" xfId="215" xr:uid="{00000000-0005-0000-0000-000019000000}"/>
    <cellStyle name="Millares 4 2 3" xfId="47" xr:uid="{00000000-0005-0000-0000-00001A000000}"/>
    <cellStyle name="Millares 4 2 3 2" xfId="141" xr:uid="{00000000-0005-0000-0000-00001B000000}"/>
    <cellStyle name="Millares 4 2 4" xfId="70" xr:uid="{00000000-0005-0000-0000-00001C000000}"/>
    <cellStyle name="Millares 4 2 4 2" xfId="164" xr:uid="{00000000-0005-0000-0000-00001D000000}"/>
    <cellStyle name="Millares 4 2 5" xfId="93" xr:uid="{00000000-0005-0000-0000-00001E000000}"/>
    <cellStyle name="Millares 4 2 5 2" xfId="187" xr:uid="{00000000-0005-0000-0000-00001F000000}"/>
    <cellStyle name="Millares 4 2 6" xfId="118" xr:uid="{00000000-0005-0000-0000-000020000000}"/>
    <cellStyle name="Millares 4 2 7" xfId="211" xr:uid="{00000000-0005-0000-0000-000021000000}"/>
    <cellStyle name="Millares 4 3" xfId="25" xr:uid="{00000000-0005-0000-0000-000022000000}"/>
    <cellStyle name="Millares 4 3 2" xfId="50" xr:uid="{00000000-0005-0000-0000-000023000000}"/>
    <cellStyle name="Millares 4 3 2 2" xfId="144" xr:uid="{00000000-0005-0000-0000-000024000000}"/>
    <cellStyle name="Millares 4 3 3" xfId="73" xr:uid="{00000000-0005-0000-0000-000025000000}"/>
    <cellStyle name="Millares 4 3 3 2" xfId="167" xr:uid="{00000000-0005-0000-0000-000026000000}"/>
    <cellStyle name="Millares 4 3 4" xfId="96" xr:uid="{00000000-0005-0000-0000-000027000000}"/>
    <cellStyle name="Millares 4 3 4 2" xfId="190" xr:uid="{00000000-0005-0000-0000-000028000000}"/>
    <cellStyle name="Millares 4 3 5" xfId="121" xr:uid="{00000000-0005-0000-0000-000029000000}"/>
    <cellStyle name="Millares 4 3 6" xfId="214" xr:uid="{00000000-0005-0000-0000-00002A000000}"/>
    <cellStyle name="Millares 4 4" xfId="41" xr:uid="{00000000-0005-0000-0000-00002B000000}"/>
    <cellStyle name="Millares 4 4 2" xfId="136" xr:uid="{00000000-0005-0000-0000-00002C000000}"/>
    <cellStyle name="Millares 4 5" xfId="65" xr:uid="{00000000-0005-0000-0000-00002D000000}"/>
    <cellStyle name="Millares 4 5 2" xfId="159" xr:uid="{00000000-0005-0000-0000-00002E000000}"/>
    <cellStyle name="Millares 4 6" xfId="88" xr:uid="{00000000-0005-0000-0000-00002F000000}"/>
    <cellStyle name="Millares 4 6 2" xfId="182" xr:uid="{00000000-0005-0000-0000-000030000000}"/>
    <cellStyle name="Millares 4 7" xfId="112" xr:uid="{00000000-0005-0000-0000-000031000000}"/>
    <cellStyle name="Millares 4 8" xfId="206" xr:uid="{00000000-0005-0000-0000-000032000000}"/>
    <cellStyle name="Millares 5" xfId="16" xr:uid="{00000000-0005-0000-0000-000033000000}"/>
    <cellStyle name="Millares 6" xfId="42" xr:uid="{00000000-0005-0000-0000-000034000000}"/>
    <cellStyle name="Millares 7" xfId="113" xr:uid="{00000000-0005-0000-0000-000035000000}"/>
    <cellStyle name="Millares 8" xfId="13" xr:uid="{00000000-0005-0000-0000-000036000000}"/>
    <cellStyle name="Normal" xfId="0" builtinId="0"/>
    <cellStyle name="Normal 10" xfId="62" xr:uid="{00000000-0005-0000-0000-000038000000}"/>
    <cellStyle name="Normal 10 2" xfId="156" xr:uid="{00000000-0005-0000-0000-000039000000}"/>
    <cellStyle name="Normal 11" xfId="85" xr:uid="{00000000-0005-0000-0000-00003A000000}"/>
    <cellStyle name="Normal 11 2" xfId="179" xr:uid="{00000000-0005-0000-0000-00003B000000}"/>
    <cellStyle name="Normal 12" xfId="109" xr:uid="{00000000-0005-0000-0000-00003C000000}"/>
    <cellStyle name="Normal 13" xfId="108" xr:uid="{00000000-0005-0000-0000-00003D000000}"/>
    <cellStyle name="Normal 14" xfId="202" xr:uid="{00000000-0005-0000-0000-00003E000000}"/>
    <cellStyle name="Normal 15" xfId="203" xr:uid="{00000000-0005-0000-0000-00003F000000}"/>
    <cellStyle name="Normal 16" xfId="1" xr:uid="{00000000-0005-0000-0000-000040000000}"/>
    <cellStyle name="Normal 2" xfId="7" xr:uid="{00000000-0005-0000-0000-000041000000}"/>
    <cellStyle name="Normal 2 2" xfId="4" xr:uid="{00000000-0005-0000-0000-000042000000}"/>
    <cellStyle name="Normal 2 2 2" xfId="2" xr:uid="{00000000-0005-0000-0000-000043000000}"/>
    <cellStyle name="Normal 2 3" xfId="5" xr:uid="{00000000-0005-0000-0000-000044000000}"/>
    <cellStyle name="Normal 3" xfId="6" xr:uid="{00000000-0005-0000-0000-000045000000}"/>
    <cellStyle name="Normal 3 2" xfId="18" xr:uid="{00000000-0005-0000-0000-000046000000}"/>
    <cellStyle name="Normal 3 2 2" xfId="28" xr:uid="{00000000-0005-0000-0000-000047000000}"/>
    <cellStyle name="Normal 3 2 2 2" xfId="53" xr:uid="{00000000-0005-0000-0000-000048000000}"/>
    <cellStyle name="Normal 3 2 2 2 2" xfId="147" xr:uid="{00000000-0005-0000-0000-000049000000}"/>
    <cellStyle name="Normal 3 2 2 3" xfId="76" xr:uid="{00000000-0005-0000-0000-00004A000000}"/>
    <cellStyle name="Normal 3 2 2 3 2" xfId="170" xr:uid="{00000000-0005-0000-0000-00004B000000}"/>
    <cellStyle name="Normal 3 2 2 4" xfId="99" xr:uid="{00000000-0005-0000-0000-00004C000000}"/>
    <cellStyle name="Normal 3 2 2 4 2" xfId="193" xr:uid="{00000000-0005-0000-0000-00004D000000}"/>
    <cellStyle name="Normal 3 2 2 5" xfId="124" xr:uid="{00000000-0005-0000-0000-00004E000000}"/>
    <cellStyle name="Normal 3 2 2 6" xfId="217" xr:uid="{00000000-0005-0000-0000-00004F000000}"/>
    <cellStyle name="Normal 3 2 3" xfId="45" xr:uid="{00000000-0005-0000-0000-000050000000}"/>
    <cellStyle name="Normal 3 2 3 2" xfId="139" xr:uid="{00000000-0005-0000-0000-000051000000}"/>
    <cellStyle name="Normal 3 2 4" xfId="68" xr:uid="{00000000-0005-0000-0000-000052000000}"/>
    <cellStyle name="Normal 3 2 4 2" xfId="162" xr:uid="{00000000-0005-0000-0000-000053000000}"/>
    <cellStyle name="Normal 3 2 5" xfId="91" xr:uid="{00000000-0005-0000-0000-000054000000}"/>
    <cellStyle name="Normal 3 2 5 2" xfId="185" xr:uid="{00000000-0005-0000-0000-000055000000}"/>
    <cellStyle name="Normal 3 2 6" xfId="116" xr:uid="{00000000-0005-0000-0000-000056000000}"/>
    <cellStyle name="Normal 3 2 7" xfId="209" xr:uid="{00000000-0005-0000-0000-000057000000}"/>
    <cellStyle name="Normal 3 3" xfId="27" xr:uid="{00000000-0005-0000-0000-000058000000}"/>
    <cellStyle name="Normal 3 3 2" xfId="52" xr:uid="{00000000-0005-0000-0000-000059000000}"/>
    <cellStyle name="Normal 3 3 2 2" xfId="146" xr:uid="{00000000-0005-0000-0000-00005A000000}"/>
    <cellStyle name="Normal 3 3 3" xfId="75" xr:uid="{00000000-0005-0000-0000-00005B000000}"/>
    <cellStyle name="Normal 3 3 3 2" xfId="169" xr:uid="{00000000-0005-0000-0000-00005C000000}"/>
    <cellStyle name="Normal 3 3 4" xfId="98" xr:uid="{00000000-0005-0000-0000-00005D000000}"/>
    <cellStyle name="Normal 3 3 4 2" xfId="192" xr:uid="{00000000-0005-0000-0000-00005E000000}"/>
    <cellStyle name="Normal 3 3 5" xfId="123" xr:uid="{00000000-0005-0000-0000-00005F000000}"/>
    <cellStyle name="Normal 3 3 6" xfId="216" xr:uid="{00000000-0005-0000-0000-000060000000}"/>
    <cellStyle name="Normal 3 4" xfId="39" xr:uid="{00000000-0005-0000-0000-000061000000}"/>
    <cellStyle name="Normal 3 4 2" xfId="134" xr:uid="{00000000-0005-0000-0000-000062000000}"/>
    <cellStyle name="Normal 3 5" xfId="63" xr:uid="{00000000-0005-0000-0000-000063000000}"/>
    <cellStyle name="Normal 3 5 2" xfId="157" xr:uid="{00000000-0005-0000-0000-000064000000}"/>
    <cellStyle name="Normal 3 6" xfId="86" xr:uid="{00000000-0005-0000-0000-000065000000}"/>
    <cellStyle name="Normal 3 6 2" xfId="180" xr:uid="{00000000-0005-0000-0000-000066000000}"/>
    <cellStyle name="Normal 3 7" xfId="110" xr:uid="{00000000-0005-0000-0000-000067000000}"/>
    <cellStyle name="Normal 3 8" xfId="204" xr:uid="{00000000-0005-0000-0000-000068000000}"/>
    <cellStyle name="Normal 4" xfId="9" xr:uid="{00000000-0005-0000-0000-000069000000}"/>
    <cellStyle name="Normal 4 2" xfId="11" xr:uid="{00000000-0005-0000-0000-00006A000000}"/>
    <cellStyle name="Normal 4 3" xfId="19" xr:uid="{00000000-0005-0000-0000-00006B000000}"/>
    <cellStyle name="Normal 4 3 2" xfId="30" xr:uid="{00000000-0005-0000-0000-00006C000000}"/>
    <cellStyle name="Normal 4 3 2 2" xfId="55" xr:uid="{00000000-0005-0000-0000-00006D000000}"/>
    <cellStyle name="Normal 4 3 2 2 2" xfId="149" xr:uid="{00000000-0005-0000-0000-00006E000000}"/>
    <cellStyle name="Normal 4 3 2 3" xfId="78" xr:uid="{00000000-0005-0000-0000-00006F000000}"/>
    <cellStyle name="Normal 4 3 2 3 2" xfId="172" xr:uid="{00000000-0005-0000-0000-000070000000}"/>
    <cellStyle name="Normal 4 3 2 4" xfId="101" xr:uid="{00000000-0005-0000-0000-000071000000}"/>
    <cellStyle name="Normal 4 3 2 4 2" xfId="195" xr:uid="{00000000-0005-0000-0000-000072000000}"/>
    <cellStyle name="Normal 4 3 2 5" xfId="126" xr:uid="{00000000-0005-0000-0000-000073000000}"/>
    <cellStyle name="Normal 4 3 2 6" xfId="219" xr:uid="{00000000-0005-0000-0000-000074000000}"/>
    <cellStyle name="Normal 4 3 3" xfId="46" xr:uid="{00000000-0005-0000-0000-000075000000}"/>
    <cellStyle name="Normal 4 3 3 2" xfId="140" xr:uid="{00000000-0005-0000-0000-000076000000}"/>
    <cellStyle name="Normal 4 3 4" xfId="69" xr:uid="{00000000-0005-0000-0000-000077000000}"/>
    <cellStyle name="Normal 4 3 4 2" xfId="163" xr:uid="{00000000-0005-0000-0000-000078000000}"/>
    <cellStyle name="Normal 4 3 5" xfId="92" xr:uid="{00000000-0005-0000-0000-000079000000}"/>
    <cellStyle name="Normal 4 3 5 2" xfId="186" xr:uid="{00000000-0005-0000-0000-00007A000000}"/>
    <cellStyle name="Normal 4 3 6" xfId="117" xr:uid="{00000000-0005-0000-0000-00007B000000}"/>
    <cellStyle name="Normal 4 3 7" xfId="210" xr:uid="{00000000-0005-0000-0000-00007C000000}"/>
    <cellStyle name="Normal 4 4" xfId="29" xr:uid="{00000000-0005-0000-0000-00007D000000}"/>
    <cellStyle name="Normal 4 4 2" xfId="54" xr:uid="{00000000-0005-0000-0000-00007E000000}"/>
    <cellStyle name="Normal 4 4 2 2" xfId="148" xr:uid="{00000000-0005-0000-0000-00007F000000}"/>
    <cellStyle name="Normal 4 4 3" xfId="77" xr:uid="{00000000-0005-0000-0000-000080000000}"/>
    <cellStyle name="Normal 4 4 3 2" xfId="171" xr:uid="{00000000-0005-0000-0000-000081000000}"/>
    <cellStyle name="Normal 4 4 4" xfId="100" xr:uid="{00000000-0005-0000-0000-000082000000}"/>
    <cellStyle name="Normal 4 4 4 2" xfId="194" xr:uid="{00000000-0005-0000-0000-000083000000}"/>
    <cellStyle name="Normal 4 4 5" xfId="125" xr:uid="{00000000-0005-0000-0000-000084000000}"/>
    <cellStyle name="Normal 4 4 6" xfId="218" xr:uid="{00000000-0005-0000-0000-000085000000}"/>
    <cellStyle name="Normal 4 5" xfId="40" xr:uid="{00000000-0005-0000-0000-000086000000}"/>
    <cellStyle name="Normal 4 5 2" xfId="135" xr:uid="{00000000-0005-0000-0000-000087000000}"/>
    <cellStyle name="Normal 4 6" xfId="64" xr:uid="{00000000-0005-0000-0000-000088000000}"/>
    <cellStyle name="Normal 4 6 2" xfId="158" xr:uid="{00000000-0005-0000-0000-000089000000}"/>
    <cellStyle name="Normal 4 7" xfId="87" xr:uid="{00000000-0005-0000-0000-00008A000000}"/>
    <cellStyle name="Normal 4 7 2" xfId="181" xr:uid="{00000000-0005-0000-0000-00008B000000}"/>
    <cellStyle name="Normal 4 8" xfId="111" xr:uid="{00000000-0005-0000-0000-00008C000000}"/>
    <cellStyle name="Normal 4 9" xfId="205" xr:uid="{00000000-0005-0000-0000-00008D000000}"/>
    <cellStyle name="Normal 5" xfId="14" xr:uid="{00000000-0005-0000-0000-00008E000000}"/>
    <cellStyle name="Normal 5 2" xfId="22" xr:uid="{00000000-0005-0000-0000-00008F000000}"/>
    <cellStyle name="Normal 5 2 2" xfId="32" xr:uid="{00000000-0005-0000-0000-000090000000}"/>
    <cellStyle name="Normal 5 2 2 2" xfId="57" xr:uid="{00000000-0005-0000-0000-000091000000}"/>
    <cellStyle name="Normal 5 2 2 2 2" xfId="151" xr:uid="{00000000-0005-0000-0000-000092000000}"/>
    <cellStyle name="Normal 5 2 2 3" xfId="80" xr:uid="{00000000-0005-0000-0000-000093000000}"/>
    <cellStyle name="Normal 5 2 2 3 2" xfId="174" xr:uid="{00000000-0005-0000-0000-000094000000}"/>
    <cellStyle name="Normal 5 2 2 4" xfId="103" xr:uid="{00000000-0005-0000-0000-000095000000}"/>
    <cellStyle name="Normal 5 2 2 4 2" xfId="197" xr:uid="{00000000-0005-0000-0000-000096000000}"/>
    <cellStyle name="Normal 5 2 2 5" xfId="128" xr:uid="{00000000-0005-0000-0000-000097000000}"/>
    <cellStyle name="Normal 5 2 2 6" xfId="221" xr:uid="{00000000-0005-0000-0000-000098000000}"/>
    <cellStyle name="Normal 5 2 3" xfId="48" xr:uid="{00000000-0005-0000-0000-000099000000}"/>
    <cellStyle name="Normal 5 2 3 2" xfId="142" xr:uid="{00000000-0005-0000-0000-00009A000000}"/>
    <cellStyle name="Normal 5 2 4" xfId="71" xr:uid="{00000000-0005-0000-0000-00009B000000}"/>
    <cellStyle name="Normal 5 2 4 2" xfId="165" xr:uid="{00000000-0005-0000-0000-00009C000000}"/>
    <cellStyle name="Normal 5 2 5" xfId="94" xr:uid="{00000000-0005-0000-0000-00009D000000}"/>
    <cellStyle name="Normal 5 2 5 2" xfId="188" xr:uid="{00000000-0005-0000-0000-00009E000000}"/>
    <cellStyle name="Normal 5 2 6" xfId="119" xr:uid="{00000000-0005-0000-0000-00009F000000}"/>
    <cellStyle name="Normal 5 2 7" xfId="212" xr:uid="{00000000-0005-0000-0000-0000A0000000}"/>
    <cellStyle name="Normal 5 3" xfId="31" xr:uid="{00000000-0005-0000-0000-0000A1000000}"/>
    <cellStyle name="Normal 5 3 2" xfId="56" xr:uid="{00000000-0005-0000-0000-0000A2000000}"/>
    <cellStyle name="Normal 5 3 2 2" xfId="150" xr:uid="{00000000-0005-0000-0000-0000A3000000}"/>
    <cellStyle name="Normal 5 3 3" xfId="79" xr:uid="{00000000-0005-0000-0000-0000A4000000}"/>
    <cellStyle name="Normal 5 3 3 2" xfId="173" xr:uid="{00000000-0005-0000-0000-0000A5000000}"/>
    <cellStyle name="Normal 5 3 4" xfId="102" xr:uid="{00000000-0005-0000-0000-0000A6000000}"/>
    <cellStyle name="Normal 5 3 4 2" xfId="196" xr:uid="{00000000-0005-0000-0000-0000A7000000}"/>
    <cellStyle name="Normal 5 3 5" xfId="127" xr:uid="{00000000-0005-0000-0000-0000A8000000}"/>
    <cellStyle name="Normal 5 3 6" xfId="220" xr:uid="{00000000-0005-0000-0000-0000A9000000}"/>
    <cellStyle name="Normal 5 4" xfId="43" xr:uid="{00000000-0005-0000-0000-0000AA000000}"/>
    <cellStyle name="Normal 5 4 2" xfId="137" xr:uid="{00000000-0005-0000-0000-0000AB000000}"/>
    <cellStyle name="Normal 5 5" xfId="66" xr:uid="{00000000-0005-0000-0000-0000AC000000}"/>
    <cellStyle name="Normal 5 5 2" xfId="160" xr:uid="{00000000-0005-0000-0000-0000AD000000}"/>
    <cellStyle name="Normal 5 6" xfId="89" xr:uid="{00000000-0005-0000-0000-0000AE000000}"/>
    <cellStyle name="Normal 5 6 2" xfId="183" xr:uid="{00000000-0005-0000-0000-0000AF000000}"/>
    <cellStyle name="Normal 5 7" xfId="114" xr:uid="{00000000-0005-0000-0000-0000B0000000}"/>
    <cellStyle name="Normal 5 8" xfId="207" xr:uid="{00000000-0005-0000-0000-0000B1000000}"/>
    <cellStyle name="Normal 6" xfId="17" xr:uid="{00000000-0005-0000-0000-0000B2000000}"/>
    <cellStyle name="Normal 6 2" xfId="23" xr:uid="{00000000-0005-0000-0000-0000B3000000}"/>
    <cellStyle name="Normal 6 2 2" xfId="34" xr:uid="{00000000-0005-0000-0000-0000B4000000}"/>
    <cellStyle name="Normal 6 2 2 2" xfId="59" xr:uid="{00000000-0005-0000-0000-0000B5000000}"/>
    <cellStyle name="Normal 6 2 2 2 2" xfId="153" xr:uid="{00000000-0005-0000-0000-0000B6000000}"/>
    <cellStyle name="Normal 6 2 2 3" xfId="82" xr:uid="{00000000-0005-0000-0000-0000B7000000}"/>
    <cellStyle name="Normal 6 2 2 3 2" xfId="176" xr:uid="{00000000-0005-0000-0000-0000B8000000}"/>
    <cellStyle name="Normal 6 2 2 4" xfId="105" xr:uid="{00000000-0005-0000-0000-0000B9000000}"/>
    <cellStyle name="Normal 6 2 2 4 2" xfId="199" xr:uid="{00000000-0005-0000-0000-0000BA000000}"/>
    <cellStyle name="Normal 6 2 2 5" xfId="130" xr:uid="{00000000-0005-0000-0000-0000BB000000}"/>
    <cellStyle name="Normal 6 2 2 6" xfId="223" xr:uid="{00000000-0005-0000-0000-0000BC000000}"/>
    <cellStyle name="Normal 6 2 3" xfId="49" xr:uid="{00000000-0005-0000-0000-0000BD000000}"/>
    <cellStyle name="Normal 6 2 3 2" xfId="143" xr:uid="{00000000-0005-0000-0000-0000BE000000}"/>
    <cellStyle name="Normal 6 2 4" xfId="72" xr:uid="{00000000-0005-0000-0000-0000BF000000}"/>
    <cellStyle name="Normal 6 2 4 2" xfId="166" xr:uid="{00000000-0005-0000-0000-0000C0000000}"/>
    <cellStyle name="Normal 6 2 5" xfId="95" xr:uid="{00000000-0005-0000-0000-0000C1000000}"/>
    <cellStyle name="Normal 6 2 5 2" xfId="189" xr:uid="{00000000-0005-0000-0000-0000C2000000}"/>
    <cellStyle name="Normal 6 2 6" xfId="120" xr:uid="{00000000-0005-0000-0000-0000C3000000}"/>
    <cellStyle name="Normal 6 2 7" xfId="213" xr:uid="{00000000-0005-0000-0000-0000C4000000}"/>
    <cellStyle name="Normal 6 3" xfId="33" xr:uid="{00000000-0005-0000-0000-0000C5000000}"/>
    <cellStyle name="Normal 6 3 2" xfId="58" xr:uid="{00000000-0005-0000-0000-0000C6000000}"/>
    <cellStyle name="Normal 6 3 2 2" xfId="152" xr:uid="{00000000-0005-0000-0000-0000C7000000}"/>
    <cellStyle name="Normal 6 3 3" xfId="81" xr:uid="{00000000-0005-0000-0000-0000C8000000}"/>
    <cellStyle name="Normal 6 3 3 2" xfId="175" xr:uid="{00000000-0005-0000-0000-0000C9000000}"/>
    <cellStyle name="Normal 6 3 4" xfId="104" xr:uid="{00000000-0005-0000-0000-0000CA000000}"/>
    <cellStyle name="Normal 6 3 4 2" xfId="198" xr:uid="{00000000-0005-0000-0000-0000CB000000}"/>
    <cellStyle name="Normal 6 3 5" xfId="129" xr:uid="{00000000-0005-0000-0000-0000CC000000}"/>
    <cellStyle name="Normal 6 3 6" xfId="222" xr:uid="{00000000-0005-0000-0000-0000CD000000}"/>
    <cellStyle name="Normal 6 4" xfId="44" xr:uid="{00000000-0005-0000-0000-0000CE000000}"/>
    <cellStyle name="Normal 6 4 2" xfId="138" xr:uid="{00000000-0005-0000-0000-0000CF000000}"/>
    <cellStyle name="Normal 6 5" xfId="67" xr:uid="{00000000-0005-0000-0000-0000D0000000}"/>
    <cellStyle name="Normal 6 5 2" xfId="161" xr:uid="{00000000-0005-0000-0000-0000D1000000}"/>
    <cellStyle name="Normal 6 6" xfId="90" xr:uid="{00000000-0005-0000-0000-0000D2000000}"/>
    <cellStyle name="Normal 6 6 2" xfId="184" xr:uid="{00000000-0005-0000-0000-0000D3000000}"/>
    <cellStyle name="Normal 6 7" xfId="115" xr:uid="{00000000-0005-0000-0000-0000D4000000}"/>
    <cellStyle name="Normal 6 8" xfId="208" xr:uid="{00000000-0005-0000-0000-0000D5000000}"/>
    <cellStyle name="Normal 7" xfId="35" xr:uid="{00000000-0005-0000-0000-0000D6000000}"/>
    <cellStyle name="Normal 7 2" xfId="60" xr:uid="{00000000-0005-0000-0000-0000D7000000}"/>
    <cellStyle name="Normal 7 2 2" xfId="154" xr:uid="{00000000-0005-0000-0000-0000D8000000}"/>
    <cellStyle name="Normal 7 3" xfId="83" xr:uid="{00000000-0005-0000-0000-0000D9000000}"/>
    <cellStyle name="Normal 7 3 2" xfId="177" xr:uid="{00000000-0005-0000-0000-0000DA000000}"/>
    <cellStyle name="Normal 7 4" xfId="106" xr:uid="{00000000-0005-0000-0000-0000DB000000}"/>
    <cellStyle name="Normal 7 4 2" xfId="200" xr:uid="{00000000-0005-0000-0000-0000DC000000}"/>
    <cellStyle name="Normal 7 5" xfId="131" xr:uid="{00000000-0005-0000-0000-0000DD000000}"/>
    <cellStyle name="Normal 7 6" xfId="224" xr:uid="{00000000-0005-0000-0000-0000DE000000}"/>
    <cellStyle name="Normal 8" xfId="38" xr:uid="{00000000-0005-0000-0000-0000DF000000}"/>
    <cellStyle name="Normal 9" xfId="37" xr:uid="{00000000-0005-0000-0000-0000E0000000}"/>
    <cellStyle name="Normal 9 2" xfId="133" xr:uid="{00000000-0005-0000-0000-0000E1000000}"/>
    <cellStyle name="Normal 9 3" xfId="226" xr:uid="{00000000-0005-0000-0000-0000E2000000}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family val="2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00B050"/>
      <color rgb="FFE2E7CF"/>
      <color rgb="FF66FF66"/>
      <color rgb="FF99FF33"/>
      <color rgb="FFCC6600"/>
      <color rgb="FFCCCC00"/>
      <color rgb="FFFF00FF"/>
      <color rgb="FFFF6600"/>
      <color rgb="FFFFFF66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333375</xdr:colOff>
      <xdr:row>1</xdr:row>
      <xdr:rowOff>0</xdr:rowOff>
    </xdr:from>
    <xdr:to>
      <xdr:col>2</xdr:col>
      <xdr:colOff>2316956</xdr:colOff>
      <xdr:row>2</xdr:row>
      <xdr:rowOff>357187</xdr:rowOff>
    </xdr:to>
    <xdr:sp macro="" textlink="">
      <xdr:nvSpPr>
        <xdr:cNvPr id="2" name="1 Cuadro de text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881063" y="202406"/>
          <a:ext cx="1983581" cy="857250"/>
        </a:xfrm>
        <a:prstGeom prst="rect">
          <a:avLst/>
        </a:prstGeom>
        <a:solidFill>
          <a:srgbClr val="C0504D">
            <a:lumMod val="40000"/>
            <a:lumOff val="60000"/>
          </a:srgbClr>
        </a:solidFill>
        <a:ln w="6350">
          <a:solidFill>
            <a:prstClr val="black"/>
          </a:solidFill>
        </a:ln>
        <a:effectLst/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1000"/>
            </a:spcAft>
            <a:buClrTx/>
            <a:buSzTx/>
            <a:buFontTx/>
            <a:buNone/>
            <a:tabLst/>
            <a:defRPr/>
          </a:pP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Arial Rounded MT Bold"/>
              <a:ea typeface="Calibri"/>
              <a:cs typeface="Times New Roman"/>
            </a:rPr>
            <a:t>TIERRA SANTA HOLDING SAC</a:t>
          </a:r>
          <a:endParaRPr kumimoji="0" lang="es-PE" sz="10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/>
            <a:ea typeface="Calibri"/>
            <a:cs typeface="Times New Roman"/>
          </a:endParaRPr>
        </a:p>
        <a:p>
          <a:pPr marL="0" marR="0" lvl="0" indent="0" algn="ctr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1000"/>
            </a:spcAft>
            <a:buClrTx/>
            <a:buSzTx/>
            <a:buFontTx/>
            <a:buNone/>
            <a:tabLst/>
            <a:defRPr/>
          </a:pP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Arial Rounded MT Bold"/>
              <a:ea typeface="Calibri"/>
              <a:cs typeface="Times New Roman"/>
            </a:rPr>
            <a:t>RUC: 20600587626</a:t>
          </a:r>
          <a:endParaRPr kumimoji="0" lang="es-PE" sz="10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/>
            <a:ea typeface="Calibri"/>
            <a:cs typeface="Times New Roman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1000"/>
            </a:spcAft>
            <a:buClrTx/>
            <a:buSzTx/>
            <a:buFontTx/>
            <a:buNone/>
            <a:tabLst/>
            <a:defRPr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Calibri"/>
              <a:cs typeface="Times New Roman"/>
            </a:rPr>
            <a:t> </a:t>
          </a: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/>
            <a:ea typeface="Calibri"/>
            <a:cs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333375</xdr:colOff>
      <xdr:row>1</xdr:row>
      <xdr:rowOff>0</xdr:rowOff>
    </xdr:from>
    <xdr:to>
      <xdr:col>2</xdr:col>
      <xdr:colOff>2316956</xdr:colOff>
      <xdr:row>2</xdr:row>
      <xdr:rowOff>357187</xdr:rowOff>
    </xdr:to>
    <xdr:sp macro="" textlink="">
      <xdr:nvSpPr>
        <xdr:cNvPr id="2" name="1 Cuadro de text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876300" y="200025"/>
          <a:ext cx="1983581" cy="852487"/>
        </a:xfrm>
        <a:prstGeom prst="rect">
          <a:avLst/>
        </a:prstGeom>
        <a:solidFill>
          <a:srgbClr val="C0504D">
            <a:lumMod val="40000"/>
            <a:lumOff val="60000"/>
          </a:srgbClr>
        </a:solidFill>
        <a:ln w="6350">
          <a:solidFill>
            <a:prstClr val="black"/>
          </a:solidFill>
        </a:ln>
        <a:effectLst/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1000"/>
            </a:spcAft>
            <a:buClrTx/>
            <a:buSzTx/>
            <a:buFontTx/>
            <a:buNone/>
            <a:tabLst/>
            <a:defRPr/>
          </a:pP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Arial Rounded MT Bold"/>
              <a:ea typeface="Calibri"/>
              <a:cs typeface="Times New Roman"/>
            </a:rPr>
            <a:t>TIERRA SANTA HOLDING SAC</a:t>
          </a:r>
          <a:endParaRPr kumimoji="0" lang="es-PE" sz="10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/>
            <a:ea typeface="Calibri"/>
            <a:cs typeface="Times New Roman"/>
          </a:endParaRPr>
        </a:p>
        <a:p>
          <a:pPr marL="0" marR="0" lvl="0" indent="0" algn="ctr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1000"/>
            </a:spcAft>
            <a:buClrTx/>
            <a:buSzTx/>
            <a:buFontTx/>
            <a:buNone/>
            <a:tabLst/>
            <a:defRPr/>
          </a:pP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Arial Rounded MT Bold"/>
              <a:ea typeface="Calibri"/>
              <a:cs typeface="Times New Roman"/>
            </a:rPr>
            <a:t>RUC: 20600587626</a:t>
          </a:r>
          <a:endParaRPr kumimoji="0" lang="es-PE" sz="10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/>
            <a:ea typeface="Calibri"/>
            <a:cs typeface="Times New Roman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1000"/>
            </a:spcAft>
            <a:buClrTx/>
            <a:buSzTx/>
            <a:buFontTx/>
            <a:buNone/>
            <a:tabLst/>
            <a:defRPr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Calibri"/>
              <a:cs typeface="Times New Roman"/>
            </a:rPr>
            <a:t> </a:t>
          </a: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/>
            <a:ea typeface="Calibri"/>
            <a:cs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295275</xdr:colOff>
      <xdr:row>0</xdr:row>
      <xdr:rowOff>114299</xdr:rowOff>
    </xdr:from>
    <xdr:to>
      <xdr:col>3</xdr:col>
      <xdr:colOff>2278856</xdr:colOff>
      <xdr:row>3</xdr:row>
      <xdr:rowOff>142874</xdr:rowOff>
    </xdr:to>
    <xdr:sp macro="" textlink="">
      <xdr:nvSpPr>
        <xdr:cNvPr id="2" name="1 Cuadro de text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1609725" y="114299"/>
          <a:ext cx="1983581" cy="600075"/>
        </a:xfrm>
        <a:prstGeom prst="rect">
          <a:avLst/>
        </a:prstGeom>
        <a:solidFill>
          <a:srgbClr val="C0504D">
            <a:lumMod val="40000"/>
            <a:lumOff val="60000"/>
          </a:srgbClr>
        </a:solidFill>
        <a:ln w="6350">
          <a:solidFill>
            <a:prstClr val="black"/>
          </a:solidFill>
        </a:ln>
        <a:effectLst/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1000"/>
            </a:spcAft>
            <a:buClrTx/>
            <a:buSzTx/>
            <a:buFontTx/>
            <a:buNone/>
            <a:tabLst/>
            <a:defRPr/>
          </a:pPr>
          <a:r>
            <a:rPr kumimoji="0" lang="en-US" sz="9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Arial Rounded MT Bold"/>
              <a:ea typeface="Calibri"/>
              <a:cs typeface="Times New Roman"/>
            </a:rPr>
            <a:t>TIERRA SANTA HOLDING SAC</a:t>
          </a: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/>
            <a:ea typeface="Calibri"/>
            <a:cs typeface="Times New Roman"/>
          </a:endParaRPr>
        </a:p>
        <a:p>
          <a:pPr marL="0" marR="0" lvl="0" indent="0" algn="ctr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1000"/>
            </a:spcAft>
            <a:buClrTx/>
            <a:buSzTx/>
            <a:buFontTx/>
            <a:buNone/>
            <a:tabLst/>
            <a:defRPr/>
          </a:pPr>
          <a:r>
            <a:rPr kumimoji="0" lang="en-US" sz="9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Arial Rounded MT Bold"/>
              <a:ea typeface="Calibri"/>
              <a:cs typeface="Times New Roman"/>
            </a:rPr>
            <a:t>RUC: 20600587626</a:t>
          </a: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/>
            <a:ea typeface="Calibri"/>
            <a:cs typeface="Times New Roman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1000"/>
            </a:spcAft>
            <a:buClrTx/>
            <a:buSzTx/>
            <a:buFontTx/>
            <a:buNone/>
            <a:tabLst/>
            <a:defRPr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Calibri"/>
              <a:cs typeface="Times New Roman"/>
            </a:rPr>
            <a:t> </a:t>
          </a: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/>
            <a:ea typeface="Calibri"/>
            <a:cs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2</xdr:col>
      <xdr:colOff>11905</xdr:colOff>
      <xdr:row>5</xdr:row>
      <xdr:rowOff>0</xdr:rowOff>
    </xdr:to>
    <xdr:sp macro="" textlink="">
      <xdr:nvSpPr>
        <xdr:cNvPr id="2" name="1 Cuadro de text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752474" y="190500"/>
          <a:ext cx="1583531" cy="762000"/>
        </a:xfrm>
        <a:prstGeom prst="rect">
          <a:avLst/>
        </a:prstGeom>
        <a:solidFill>
          <a:srgbClr val="C0504D">
            <a:lumMod val="40000"/>
            <a:lumOff val="60000"/>
          </a:srgbClr>
        </a:solidFill>
        <a:ln w="6350">
          <a:solidFill>
            <a:prstClr val="black"/>
          </a:solidFill>
        </a:ln>
        <a:effectLst/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1000"/>
            </a:spcAft>
            <a:buClrTx/>
            <a:buSzTx/>
            <a:buFontTx/>
            <a:buNone/>
            <a:tabLst/>
            <a:defRPr/>
          </a:pPr>
          <a:r>
            <a:rPr kumimoji="0" lang="en-US" sz="9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Arial Rounded MT Bold"/>
              <a:ea typeface="Calibri"/>
              <a:cs typeface="Times New Roman"/>
            </a:rPr>
            <a:t>TIERRA SANTA HOLDING SAC</a:t>
          </a: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/>
            <a:ea typeface="Calibri"/>
            <a:cs typeface="Times New Roman"/>
          </a:endParaRPr>
        </a:p>
        <a:p>
          <a:pPr marL="0" marR="0" lvl="0" indent="0" algn="ctr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1000"/>
            </a:spcAft>
            <a:buClrTx/>
            <a:buSzTx/>
            <a:buFontTx/>
            <a:buNone/>
            <a:tabLst/>
            <a:defRPr/>
          </a:pPr>
          <a:r>
            <a:rPr kumimoji="0" lang="en-US" sz="9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Arial Rounded MT Bold"/>
              <a:ea typeface="Calibri"/>
              <a:cs typeface="Times New Roman"/>
            </a:rPr>
            <a:t>RUC: 20600587626</a:t>
          </a: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/>
            <a:ea typeface="Calibri"/>
            <a:cs typeface="Times New Roman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1000"/>
            </a:spcAft>
            <a:buClrTx/>
            <a:buSzTx/>
            <a:buFontTx/>
            <a:buNone/>
            <a:tabLst/>
            <a:defRPr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Calibri"/>
              <a:cs typeface="Times New Roman"/>
            </a:rPr>
            <a:t> </a:t>
          </a: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/>
            <a:ea typeface="Calibri"/>
            <a:cs typeface="Times New Roman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F2B635-88C4-424F-99EE-888BAE2E9B4B}" name="tbl_labores" displayName="tbl_labores" ref="A2:B3" insertRow="1" totalsRowShown="0" headerRowDxfId="5" dataDxfId="4">
  <autoFilter ref="A2:B3" xr:uid="{BCF2B635-88C4-424F-99EE-888BAE2E9B4B}"/>
  <tableColumns count="2">
    <tableColumn id="1" xr3:uid="{BB430603-A7A5-4FAD-AF22-99BBFA028F89}" name="CÓDIGO" dataDxfId="3"/>
    <tableColumn id="2" xr3:uid="{78380E1A-8370-4AC4-BA7C-64706DD241EB}" name="LABOR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D6C4D9-DF71-4C38-A7CF-0FFBDAB3B594}" name="tbl_labores_riego" displayName="tbl_labores_riego" ref="D2:E3" insertRow="1" totalsRowShown="0" headerRowDxfId="7" dataDxfId="6">
  <autoFilter ref="D2:E3" xr:uid="{F0D6C4D9-DF71-4C38-A7CF-0FFBDAB3B594}"/>
  <tableColumns count="2">
    <tableColumn id="1" xr3:uid="{57AE6621-D0A5-4247-BED2-0BF687097A30}" name="N°" dataDxfId="1"/>
    <tableColumn id="2" xr3:uid="{67EE80A4-5282-4A5A-B7D1-F9EBDE5DDE69}" name="LABORES RIEG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269A-A348-48C1-9FF0-659A258FB959}">
  <dimension ref="A2:E3"/>
  <sheetViews>
    <sheetView zoomScale="130" zoomScaleNormal="130" workbookViewId="0">
      <selection activeCell="B12" sqref="B12"/>
    </sheetView>
  </sheetViews>
  <sheetFormatPr baseColWidth="10" defaultRowHeight="14.4" x14ac:dyDescent="0.3"/>
  <cols>
    <col min="1" max="1" width="8.88671875" style="181" customWidth="1"/>
    <col min="2" max="2" width="38.6640625" style="181" customWidth="1"/>
    <col min="3" max="3" width="11.5546875" style="121"/>
    <col min="4" max="4" width="10.77734375" style="121" customWidth="1"/>
    <col min="5" max="5" width="29.77734375" style="121" customWidth="1"/>
    <col min="6" max="16384" width="11.5546875" style="121"/>
  </cols>
  <sheetData>
    <row r="2" spans="1:5" x14ac:dyDescent="0.3">
      <c r="A2" s="135" t="s">
        <v>176</v>
      </c>
      <c r="B2" s="135" t="s">
        <v>48</v>
      </c>
      <c r="D2" s="122" t="s">
        <v>30</v>
      </c>
      <c r="E2" s="122" t="s">
        <v>207</v>
      </c>
    </row>
    <row r="3" spans="1:5" ht="15.6" x14ac:dyDescent="0.3">
      <c r="A3" s="135"/>
      <c r="B3" s="182"/>
      <c r="D3" s="135"/>
      <c r="E3" s="183"/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AP147"/>
  <sheetViews>
    <sheetView zoomScale="94" zoomScaleNormal="94" workbookViewId="0">
      <pane xSplit="4" ySplit="6" topLeftCell="E7" activePane="bottomRight" state="frozen"/>
      <selection pane="topRight" activeCell="I1" sqref="I1"/>
      <selection pane="bottomLeft" activeCell="A8" sqref="A8"/>
      <selection pane="bottomRight" activeCell="C107" sqref="C107:P116"/>
    </sheetView>
  </sheetViews>
  <sheetFormatPr baseColWidth="10" defaultColWidth="11.44140625" defaultRowHeight="14.4" x14ac:dyDescent="0.3"/>
  <cols>
    <col min="1" max="1" width="5.109375" style="136" customWidth="1"/>
    <col min="2" max="2" width="33.33203125" style="128" bestFit="1" customWidth="1"/>
    <col min="3" max="3" width="10.77734375" style="128" bestFit="1" customWidth="1"/>
    <col min="4" max="4" width="8" style="128" customWidth="1"/>
    <col min="5" max="6" width="9.77734375" style="163" customWidth="1"/>
    <col min="7" max="8" width="9.77734375" style="164" customWidth="1"/>
    <col min="9" max="10" width="9.77734375" style="158" customWidth="1"/>
    <col min="11" max="12" width="9.77734375" style="159" customWidth="1"/>
    <col min="13" max="14" width="9.77734375" style="163" customWidth="1"/>
    <col min="15" max="16" width="9.77734375" style="164" customWidth="1"/>
    <col min="17" max="18" width="9.77734375" style="128" customWidth="1"/>
    <col min="19" max="20" width="9.77734375" style="151" customWidth="1"/>
    <col min="21" max="22" width="9.77734375" style="163" customWidth="1"/>
    <col min="23" max="24" width="9.77734375" style="164" customWidth="1"/>
    <col min="25" max="26" width="9.77734375" style="151" customWidth="1"/>
    <col min="27" max="28" width="9.77734375" style="129" customWidth="1"/>
    <col min="29" max="30" width="9.77734375" style="163" customWidth="1"/>
    <col min="31" max="32" width="9.77734375" style="164" customWidth="1"/>
    <col min="33" max="33" width="9.77734375" style="128" customWidth="1"/>
    <col min="34" max="16384" width="11.44140625" style="128"/>
  </cols>
  <sheetData>
    <row r="1" spans="1:33" x14ac:dyDescent="0.3">
      <c r="A1" s="174"/>
      <c r="B1" s="157"/>
      <c r="C1" s="157"/>
      <c r="D1" s="157"/>
      <c r="E1" s="157"/>
      <c r="F1" s="157"/>
      <c r="G1" s="151"/>
      <c r="H1" s="151"/>
      <c r="I1" s="157"/>
      <c r="J1" s="157"/>
      <c r="K1" s="151"/>
      <c r="L1" s="151"/>
      <c r="M1" s="157"/>
      <c r="N1" s="157"/>
      <c r="O1" s="151"/>
      <c r="P1" s="151"/>
      <c r="Q1" s="157"/>
      <c r="R1" s="157"/>
      <c r="U1" s="157"/>
      <c r="V1" s="157"/>
      <c r="W1" s="151"/>
      <c r="X1" s="151"/>
      <c r="AA1" s="151"/>
      <c r="AB1" s="151"/>
      <c r="AC1" s="157"/>
      <c r="AD1" s="157"/>
      <c r="AE1" s="151"/>
      <c r="AF1" s="151"/>
    </row>
    <row r="2" spans="1:33" ht="27" customHeight="1" x14ac:dyDescent="0.45">
      <c r="A2" s="179" t="s">
        <v>32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5" t="s">
        <v>49</v>
      </c>
      <c r="AG2" s="176"/>
    </row>
    <row r="3" spans="1:33" ht="20.25" customHeight="1" x14ac:dyDescent="0.3">
      <c r="A3" s="180">
        <v>45449</v>
      </c>
      <c r="B3" s="180"/>
      <c r="C3" s="180"/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80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  <c r="AD3" s="180"/>
      <c r="AE3" s="180"/>
      <c r="AF3" s="177"/>
    </row>
    <row r="4" spans="1:33" ht="20.25" customHeight="1" x14ac:dyDescent="0.3">
      <c r="A4" s="180" t="s">
        <v>177</v>
      </c>
      <c r="B4" s="180"/>
      <c r="C4" s="180"/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180"/>
      <c r="Y4" s="180"/>
      <c r="Z4" s="180"/>
      <c r="AA4" s="180"/>
      <c r="AB4" s="180"/>
      <c r="AC4" s="180"/>
      <c r="AD4" s="180"/>
      <c r="AE4" s="180"/>
      <c r="AF4" s="178"/>
    </row>
    <row r="5" spans="1:33" x14ac:dyDescent="0.3">
      <c r="A5" s="174"/>
      <c r="B5" s="157"/>
      <c r="C5" s="157"/>
      <c r="D5" s="157"/>
      <c r="E5" s="157"/>
      <c r="F5" s="157"/>
      <c r="G5" s="151"/>
      <c r="H5" s="151"/>
      <c r="I5" s="157"/>
      <c r="J5" s="157"/>
      <c r="K5" s="151"/>
      <c r="L5" s="151"/>
      <c r="M5" s="157"/>
      <c r="N5" s="157"/>
      <c r="O5" s="151"/>
      <c r="P5" s="151"/>
      <c r="Q5" s="157"/>
      <c r="R5" s="157"/>
      <c r="U5" s="157"/>
      <c r="V5" s="157"/>
      <c r="W5" s="151"/>
      <c r="X5" s="151"/>
      <c r="AA5" s="151"/>
      <c r="AB5" s="151"/>
      <c r="AC5" s="157"/>
      <c r="AD5" s="157"/>
      <c r="AE5" s="151"/>
      <c r="AF5" s="151"/>
    </row>
    <row r="6" spans="1:33" s="162" customFormat="1" ht="35.25" customHeight="1" x14ac:dyDescent="0.3">
      <c r="A6" s="160" t="s">
        <v>30</v>
      </c>
      <c r="B6" s="160" t="s">
        <v>128</v>
      </c>
      <c r="C6" s="160" t="s">
        <v>127</v>
      </c>
      <c r="D6" s="160" t="s">
        <v>126</v>
      </c>
      <c r="E6" s="172" t="s">
        <v>50</v>
      </c>
      <c r="F6" s="172" t="s">
        <v>48</v>
      </c>
      <c r="G6" s="173" t="s">
        <v>2</v>
      </c>
      <c r="H6" s="173" t="s">
        <v>3</v>
      </c>
      <c r="I6" s="160" t="s">
        <v>50</v>
      </c>
      <c r="J6" s="160" t="s">
        <v>48</v>
      </c>
      <c r="K6" s="161" t="s">
        <v>2</v>
      </c>
      <c r="L6" s="161" t="s">
        <v>3</v>
      </c>
      <c r="M6" s="172" t="s">
        <v>50</v>
      </c>
      <c r="N6" s="172" t="s">
        <v>48</v>
      </c>
      <c r="O6" s="173" t="s">
        <v>2</v>
      </c>
      <c r="P6" s="173" t="s">
        <v>3</v>
      </c>
      <c r="Q6" s="160" t="s">
        <v>50</v>
      </c>
      <c r="R6" s="160" t="s">
        <v>48</v>
      </c>
      <c r="S6" s="161" t="s">
        <v>2</v>
      </c>
      <c r="T6" s="161" t="s">
        <v>3</v>
      </c>
      <c r="U6" s="172" t="s">
        <v>50</v>
      </c>
      <c r="V6" s="172" t="s">
        <v>48</v>
      </c>
      <c r="W6" s="173" t="s">
        <v>2</v>
      </c>
      <c r="X6" s="173" t="s">
        <v>3</v>
      </c>
      <c r="Y6" s="160" t="s">
        <v>50</v>
      </c>
      <c r="Z6" s="160" t="s">
        <v>48</v>
      </c>
      <c r="AA6" s="161" t="s">
        <v>2</v>
      </c>
      <c r="AB6" s="161" t="s">
        <v>3</v>
      </c>
      <c r="AC6" s="172" t="s">
        <v>50</v>
      </c>
      <c r="AD6" s="172" t="s">
        <v>48</v>
      </c>
      <c r="AE6" s="173" t="s">
        <v>2</v>
      </c>
      <c r="AF6" s="173" t="s">
        <v>3</v>
      </c>
      <c r="AG6" s="160" t="s">
        <v>33</v>
      </c>
    </row>
    <row r="7" spans="1:33" ht="20.25" customHeight="1" x14ac:dyDescent="0.3">
      <c r="A7" s="106">
        <v>1</v>
      </c>
      <c r="B7" s="138"/>
      <c r="C7" s="139"/>
      <c r="D7" s="140"/>
      <c r="E7" s="165"/>
      <c r="F7" s="165"/>
      <c r="G7" s="166"/>
      <c r="H7" s="166"/>
      <c r="I7" s="99"/>
      <c r="J7" s="99"/>
      <c r="K7" s="98"/>
      <c r="L7" s="98"/>
      <c r="M7" s="165"/>
      <c r="N7" s="165"/>
      <c r="O7" s="166"/>
      <c r="P7" s="166"/>
      <c r="Q7" s="97"/>
      <c r="R7" s="97"/>
      <c r="S7" s="152"/>
      <c r="T7" s="152"/>
      <c r="U7" s="165"/>
      <c r="V7" s="165"/>
      <c r="W7" s="166"/>
      <c r="X7" s="166"/>
      <c r="Y7" s="153"/>
      <c r="Z7" s="153"/>
      <c r="AA7" s="98"/>
      <c r="AB7" s="98"/>
      <c r="AC7" s="165"/>
      <c r="AD7" s="165"/>
      <c r="AE7" s="166"/>
      <c r="AF7" s="166"/>
      <c r="AG7" s="141"/>
    </row>
    <row r="8" spans="1:33" ht="20.25" customHeight="1" x14ac:dyDescent="0.3">
      <c r="A8" s="106">
        <v>2</v>
      </c>
      <c r="B8" s="142"/>
      <c r="C8" s="143"/>
      <c r="D8" s="140"/>
      <c r="E8" s="165"/>
      <c r="F8" s="165"/>
      <c r="G8" s="166"/>
      <c r="H8" s="166"/>
      <c r="I8" s="99"/>
      <c r="J8" s="99"/>
      <c r="K8" s="98"/>
      <c r="L8" s="98"/>
      <c r="M8" s="165"/>
      <c r="N8" s="165"/>
      <c r="O8" s="166"/>
      <c r="P8" s="166"/>
      <c r="Q8" s="97"/>
      <c r="R8" s="97"/>
      <c r="S8" s="152"/>
      <c r="T8" s="152"/>
      <c r="U8" s="165"/>
      <c r="V8" s="165"/>
      <c r="W8" s="166"/>
      <c r="X8" s="166"/>
      <c r="Y8" s="153"/>
      <c r="Z8" s="153"/>
      <c r="AA8" s="96"/>
      <c r="AB8" s="96"/>
      <c r="AC8" s="165"/>
      <c r="AD8" s="165"/>
      <c r="AE8" s="166"/>
      <c r="AF8" s="166"/>
      <c r="AG8" s="141"/>
    </row>
    <row r="9" spans="1:33" ht="20.25" customHeight="1" x14ac:dyDescent="0.3">
      <c r="A9" s="106">
        <v>3</v>
      </c>
      <c r="B9" s="142"/>
      <c r="C9" s="139"/>
      <c r="D9" s="140"/>
      <c r="E9" s="165"/>
      <c r="F9" s="167"/>
      <c r="G9" s="166"/>
      <c r="H9" s="166"/>
      <c r="I9" s="99"/>
      <c r="J9" s="99"/>
      <c r="K9" s="98"/>
      <c r="L9" s="98"/>
      <c r="M9" s="165"/>
      <c r="N9" s="167"/>
      <c r="O9" s="166"/>
      <c r="P9" s="166"/>
      <c r="Q9" s="97"/>
      <c r="R9" s="97"/>
      <c r="S9" s="152"/>
      <c r="T9" s="152"/>
      <c r="U9" s="165"/>
      <c r="V9" s="167"/>
      <c r="W9" s="166"/>
      <c r="X9" s="166"/>
      <c r="Y9" s="153"/>
      <c r="Z9" s="153"/>
      <c r="AA9" s="96"/>
      <c r="AB9" s="96"/>
      <c r="AC9" s="165"/>
      <c r="AD9" s="167"/>
      <c r="AE9" s="166"/>
      <c r="AF9" s="166"/>
      <c r="AG9" s="141"/>
    </row>
    <row r="10" spans="1:33" ht="20.25" customHeight="1" x14ac:dyDescent="0.3">
      <c r="A10" s="106">
        <v>4</v>
      </c>
      <c r="B10" s="142"/>
      <c r="C10" s="143"/>
      <c r="D10" s="140"/>
      <c r="E10" s="165"/>
      <c r="F10" s="165"/>
      <c r="G10" s="166"/>
      <c r="H10" s="166"/>
      <c r="I10" s="99"/>
      <c r="J10" s="99"/>
      <c r="K10" s="98"/>
      <c r="L10" s="98"/>
      <c r="M10" s="165"/>
      <c r="N10" s="165"/>
      <c r="O10" s="166"/>
      <c r="P10" s="166"/>
      <c r="Q10" s="97"/>
      <c r="R10" s="97"/>
      <c r="S10" s="152"/>
      <c r="T10" s="152"/>
      <c r="U10" s="165"/>
      <c r="V10" s="165"/>
      <c r="W10" s="166"/>
      <c r="X10" s="166"/>
      <c r="Y10" s="153"/>
      <c r="Z10" s="153"/>
      <c r="AA10" s="96"/>
      <c r="AB10" s="96"/>
      <c r="AC10" s="165"/>
      <c r="AD10" s="165"/>
      <c r="AE10" s="166"/>
      <c r="AF10" s="166"/>
      <c r="AG10" s="141"/>
    </row>
    <row r="11" spans="1:33" ht="20.25" customHeight="1" x14ac:dyDescent="0.3">
      <c r="A11" s="106">
        <v>5</v>
      </c>
      <c r="B11" s="142"/>
      <c r="C11" s="143"/>
      <c r="D11" s="140"/>
      <c r="E11" s="165"/>
      <c r="F11" s="165"/>
      <c r="G11" s="166"/>
      <c r="H11" s="166"/>
      <c r="I11" s="99"/>
      <c r="J11" s="99"/>
      <c r="K11" s="98"/>
      <c r="L11" s="98"/>
      <c r="M11" s="165"/>
      <c r="N11" s="165"/>
      <c r="O11" s="166"/>
      <c r="P11" s="166"/>
      <c r="Q11" s="97"/>
      <c r="R11" s="97"/>
      <c r="S11" s="152"/>
      <c r="T11" s="152"/>
      <c r="U11" s="165"/>
      <c r="V11" s="165"/>
      <c r="W11" s="166"/>
      <c r="X11" s="166"/>
      <c r="Y11" s="153"/>
      <c r="Z11" s="153"/>
      <c r="AA11" s="96"/>
      <c r="AB11" s="96"/>
      <c r="AC11" s="165"/>
      <c r="AD11" s="165"/>
      <c r="AE11" s="166"/>
      <c r="AF11" s="166"/>
      <c r="AG11" s="141"/>
    </row>
    <row r="12" spans="1:33" ht="20.25" customHeight="1" x14ac:dyDescent="0.3">
      <c r="A12" s="106">
        <v>6</v>
      </c>
      <c r="B12" s="142"/>
      <c r="C12" s="143"/>
      <c r="D12" s="140"/>
      <c r="E12" s="165"/>
      <c r="F12" s="165"/>
      <c r="G12" s="166"/>
      <c r="H12" s="166"/>
      <c r="I12" s="99"/>
      <c r="J12" s="99"/>
      <c r="K12" s="98"/>
      <c r="L12" s="98"/>
      <c r="M12" s="165"/>
      <c r="N12" s="165"/>
      <c r="O12" s="166"/>
      <c r="P12" s="166"/>
      <c r="Q12" s="97"/>
      <c r="R12" s="97"/>
      <c r="S12" s="152"/>
      <c r="T12" s="152"/>
      <c r="U12" s="165"/>
      <c r="V12" s="165"/>
      <c r="W12" s="166"/>
      <c r="X12" s="166"/>
      <c r="Y12" s="153"/>
      <c r="Z12" s="153"/>
      <c r="AA12" s="96"/>
      <c r="AB12" s="96"/>
      <c r="AC12" s="165"/>
      <c r="AD12" s="165"/>
      <c r="AE12" s="166"/>
      <c r="AF12" s="166"/>
      <c r="AG12" s="141"/>
    </row>
    <row r="13" spans="1:33" ht="20.25" customHeight="1" x14ac:dyDescent="0.3">
      <c r="A13" s="106">
        <v>7</v>
      </c>
      <c r="B13" s="138"/>
      <c r="C13" s="143"/>
      <c r="D13" s="140"/>
      <c r="E13" s="165"/>
      <c r="F13" s="165"/>
      <c r="G13" s="166"/>
      <c r="H13" s="166"/>
      <c r="I13" s="99"/>
      <c r="J13" s="99"/>
      <c r="K13" s="98"/>
      <c r="L13" s="98"/>
      <c r="M13" s="165"/>
      <c r="N13" s="165"/>
      <c r="O13" s="166"/>
      <c r="P13" s="166"/>
      <c r="Q13" s="97"/>
      <c r="R13" s="97"/>
      <c r="S13" s="152"/>
      <c r="T13" s="152"/>
      <c r="U13" s="165"/>
      <c r="V13" s="165"/>
      <c r="W13" s="166"/>
      <c r="X13" s="166"/>
      <c r="Y13" s="153"/>
      <c r="Z13" s="153"/>
      <c r="AA13" s="96"/>
      <c r="AB13" s="96"/>
      <c r="AC13" s="165"/>
      <c r="AD13" s="165"/>
      <c r="AE13" s="166"/>
      <c r="AF13" s="166"/>
      <c r="AG13" s="141"/>
    </row>
    <row r="14" spans="1:33" ht="20.25" customHeight="1" x14ac:dyDescent="0.3">
      <c r="A14" s="106">
        <v>8</v>
      </c>
      <c r="B14" s="138"/>
      <c r="C14" s="143"/>
      <c r="D14" s="140"/>
      <c r="E14" s="165"/>
      <c r="F14" s="165"/>
      <c r="G14" s="166"/>
      <c r="H14" s="166"/>
      <c r="I14" s="99"/>
      <c r="J14" s="99"/>
      <c r="K14" s="98"/>
      <c r="L14" s="98"/>
      <c r="M14" s="165"/>
      <c r="N14" s="165"/>
      <c r="O14" s="166"/>
      <c r="P14" s="166"/>
      <c r="Q14" s="97"/>
      <c r="R14" s="97"/>
      <c r="S14" s="152"/>
      <c r="T14" s="152"/>
      <c r="U14" s="165"/>
      <c r="V14" s="165"/>
      <c r="W14" s="166"/>
      <c r="X14" s="166"/>
      <c r="Y14" s="153"/>
      <c r="Z14" s="153"/>
      <c r="AA14" s="98"/>
      <c r="AB14" s="98"/>
      <c r="AC14" s="165"/>
      <c r="AD14" s="165"/>
      <c r="AE14" s="166"/>
      <c r="AF14" s="166"/>
      <c r="AG14" s="141"/>
    </row>
    <row r="15" spans="1:33" ht="20.25" customHeight="1" x14ac:dyDescent="0.3">
      <c r="A15" s="106">
        <v>9</v>
      </c>
      <c r="B15" s="138"/>
      <c r="C15" s="143"/>
      <c r="D15" s="140"/>
      <c r="E15" s="165"/>
      <c r="F15" s="165"/>
      <c r="G15" s="166"/>
      <c r="H15" s="166"/>
      <c r="I15" s="99"/>
      <c r="J15" s="99"/>
      <c r="K15" s="98"/>
      <c r="L15" s="98"/>
      <c r="M15" s="165"/>
      <c r="N15" s="165"/>
      <c r="O15" s="166"/>
      <c r="P15" s="166"/>
      <c r="Q15" s="97"/>
      <c r="R15" s="97"/>
      <c r="S15" s="152"/>
      <c r="T15" s="152"/>
      <c r="U15" s="165"/>
      <c r="V15" s="165"/>
      <c r="W15" s="166"/>
      <c r="X15" s="166"/>
      <c r="Y15" s="153"/>
      <c r="Z15" s="153"/>
      <c r="AA15" s="96"/>
      <c r="AB15" s="96"/>
      <c r="AC15" s="165"/>
      <c r="AD15" s="165"/>
      <c r="AE15" s="166"/>
      <c r="AF15" s="166"/>
      <c r="AG15" s="141"/>
    </row>
    <row r="16" spans="1:33" ht="20.25" customHeight="1" x14ac:dyDescent="0.3">
      <c r="A16" s="106">
        <v>10</v>
      </c>
      <c r="B16" s="138"/>
      <c r="C16" s="139"/>
      <c r="D16" s="140"/>
      <c r="E16" s="165"/>
      <c r="F16" s="167"/>
      <c r="G16" s="166"/>
      <c r="H16" s="166"/>
      <c r="I16" s="99"/>
      <c r="J16" s="99"/>
      <c r="K16" s="98"/>
      <c r="L16" s="98"/>
      <c r="M16" s="165"/>
      <c r="N16" s="167"/>
      <c r="O16" s="166"/>
      <c r="P16" s="166"/>
      <c r="Q16" s="97"/>
      <c r="R16" s="97"/>
      <c r="S16" s="152"/>
      <c r="T16" s="152"/>
      <c r="U16" s="165"/>
      <c r="V16" s="167"/>
      <c r="W16" s="166"/>
      <c r="X16" s="166"/>
      <c r="Y16" s="153"/>
      <c r="Z16" s="153"/>
      <c r="AA16" s="96"/>
      <c r="AB16" s="96"/>
      <c r="AC16" s="165"/>
      <c r="AD16" s="167"/>
      <c r="AE16" s="166"/>
      <c r="AF16" s="166"/>
      <c r="AG16" s="141"/>
    </row>
    <row r="17" spans="1:33" ht="20.25" customHeight="1" x14ac:dyDescent="0.3">
      <c r="A17" s="106">
        <v>11</v>
      </c>
      <c r="B17" s="138"/>
      <c r="C17" s="139"/>
      <c r="D17" s="140"/>
      <c r="E17" s="165"/>
      <c r="F17" s="167"/>
      <c r="G17" s="166"/>
      <c r="H17" s="166"/>
      <c r="I17" s="99"/>
      <c r="J17" s="99"/>
      <c r="K17" s="98"/>
      <c r="L17" s="98"/>
      <c r="M17" s="165"/>
      <c r="N17" s="167"/>
      <c r="O17" s="166"/>
      <c r="P17" s="166"/>
      <c r="Q17" s="97"/>
      <c r="R17" s="97"/>
      <c r="S17" s="152"/>
      <c r="T17" s="152"/>
      <c r="U17" s="165"/>
      <c r="V17" s="167"/>
      <c r="W17" s="166"/>
      <c r="X17" s="166"/>
      <c r="Y17" s="153"/>
      <c r="Z17" s="153"/>
      <c r="AA17" s="98"/>
      <c r="AB17" s="98"/>
      <c r="AC17" s="165"/>
      <c r="AD17" s="167"/>
      <c r="AE17" s="166"/>
      <c r="AF17" s="166"/>
      <c r="AG17" s="141"/>
    </row>
    <row r="18" spans="1:33" ht="20.25" customHeight="1" x14ac:dyDescent="0.3">
      <c r="A18" s="106">
        <v>12</v>
      </c>
      <c r="B18" s="138"/>
      <c r="C18" s="143"/>
      <c r="D18" s="140"/>
      <c r="E18" s="165"/>
      <c r="F18" s="165"/>
      <c r="G18" s="166"/>
      <c r="H18" s="166"/>
      <c r="I18" s="99"/>
      <c r="J18" s="99"/>
      <c r="K18" s="98"/>
      <c r="L18" s="98"/>
      <c r="M18" s="165"/>
      <c r="N18" s="165"/>
      <c r="O18" s="166"/>
      <c r="P18" s="166"/>
      <c r="Q18" s="97"/>
      <c r="R18" s="97"/>
      <c r="S18" s="152"/>
      <c r="T18" s="152"/>
      <c r="U18" s="165"/>
      <c r="V18" s="165"/>
      <c r="W18" s="166"/>
      <c r="X18" s="166"/>
      <c r="Y18" s="153"/>
      <c r="Z18" s="153"/>
      <c r="AA18" s="96"/>
      <c r="AB18" s="96"/>
      <c r="AC18" s="165"/>
      <c r="AD18" s="165"/>
      <c r="AE18" s="166"/>
      <c r="AF18" s="166"/>
      <c r="AG18" s="141"/>
    </row>
    <row r="19" spans="1:33" ht="20.25" customHeight="1" x14ac:dyDescent="0.3">
      <c r="A19" s="106">
        <v>13</v>
      </c>
      <c r="B19" s="138"/>
      <c r="C19" s="139"/>
      <c r="D19" s="140"/>
      <c r="E19" s="165"/>
      <c r="F19" s="165"/>
      <c r="G19" s="166"/>
      <c r="H19" s="166"/>
      <c r="I19" s="99"/>
      <c r="J19" s="99"/>
      <c r="K19" s="98"/>
      <c r="L19" s="98"/>
      <c r="M19" s="165"/>
      <c r="N19" s="165"/>
      <c r="O19" s="166"/>
      <c r="P19" s="166"/>
      <c r="Q19" s="97"/>
      <c r="R19" s="97"/>
      <c r="S19" s="152"/>
      <c r="T19" s="152"/>
      <c r="U19" s="165"/>
      <c r="V19" s="165"/>
      <c r="W19" s="166"/>
      <c r="X19" s="166"/>
      <c r="Y19" s="153"/>
      <c r="Z19" s="153"/>
      <c r="AA19" s="98"/>
      <c r="AB19" s="98"/>
      <c r="AC19" s="165"/>
      <c r="AD19" s="165"/>
      <c r="AE19" s="166"/>
      <c r="AF19" s="166"/>
      <c r="AG19" s="141"/>
    </row>
    <row r="20" spans="1:33" ht="20.25" customHeight="1" x14ac:dyDescent="0.3">
      <c r="A20" s="106">
        <v>14</v>
      </c>
      <c r="B20" s="138"/>
      <c r="C20" s="139"/>
      <c r="D20" s="140"/>
      <c r="E20" s="165"/>
      <c r="F20" s="165"/>
      <c r="G20" s="166"/>
      <c r="H20" s="166"/>
      <c r="I20" s="99"/>
      <c r="J20" s="99"/>
      <c r="K20" s="98"/>
      <c r="L20" s="98"/>
      <c r="M20" s="165"/>
      <c r="N20" s="165"/>
      <c r="O20" s="166"/>
      <c r="P20" s="166"/>
      <c r="Q20" s="97"/>
      <c r="R20" s="97"/>
      <c r="S20" s="152"/>
      <c r="T20" s="152"/>
      <c r="U20" s="165"/>
      <c r="V20" s="165"/>
      <c r="W20" s="166"/>
      <c r="X20" s="166"/>
      <c r="Y20" s="153"/>
      <c r="Z20" s="153"/>
      <c r="AA20" s="98"/>
      <c r="AB20" s="98"/>
      <c r="AC20" s="165"/>
      <c r="AD20" s="165"/>
      <c r="AE20" s="166"/>
      <c r="AF20" s="166"/>
      <c r="AG20" s="141"/>
    </row>
    <row r="21" spans="1:33" ht="20.25" customHeight="1" x14ac:dyDescent="0.3">
      <c r="A21" s="106">
        <v>15</v>
      </c>
      <c r="B21" s="138"/>
      <c r="C21" s="143"/>
      <c r="D21" s="140"/>
      <c r="E21" s="165"/>
      <c r="F21" s="165"/>
      <c r="G21" s="166"/>
      <c r="H21" s="166"/>
      <c r="I21" s="99"/>
      <c r="J21" s="99"/>
      <c r="K21" s="98"/>
      <c r="L21" s="98"/>
      <c r="M21" s="165"/>
      <c r="N21" s="165"/>
      <c r="O21" s="166"/>
      <c r="P21" s="166"/>
      <c r="Q21" s="97"/>
      <c r="R21" s="97"/>
      <c r="S21" s="152"/>
      <c r="T21" s="152"/>
      <c r="U21" s="165"/>
      <c r="V21" s="165"/>
      <c r="W21" s="166"/>
      <c r="X21" s="166"/>
      <c r="Y21" s="153"/>
      <c r="Z21" s="153"/>
      <c r="AA21" s="98"/>
      <c r="AB21" s="98"/>
      <c r="AC21" s="165"/>
      <c r="AD21" s="165"/>
      <c r="AE21" s="166"/>
      <c r="AF21" s="166"/>
      <c r="AG21" s="141"/>
    </row>
    <row r="22" spans="1:33" ht="20.25" customHeight="1" x14ac:dyDescent="0.3">
      <c r="A22" s="106">
        <v>16</v>
      </c>
      <c r="B22" s="138"/>
      <c r="C22" s="143"/>
      <c r="D22" s="140"/>
      <c r="E22" s="165"/>
      <c r="F22" s="165"/>
      <c r="G22" s="166"/>
      <c r="H22" s="166"/>
      <c r="I22" s="99"/>
      <c r="J22" s="99"/>
      <c r="K22" s="98"/>
      <c r="L22" s="98"/>
      <c r="M22" s="165"/>
      <c r="N22" s="165"/>
      <c r="O22" s="166"/>
      <c r="P22" s="166"/>
      <c r="Q22" s="97"/>
      <c r="R22" s="97"/>
      <c r="S22" s="152"/>
      <c r="T22" s="152"/>
      <c r="U22" s="165"/>
      <c r="V22" s="165"/>
      <c r="W22" s="166"/>
      <c r="X22" s="166"/>
      <c r="Y22" s="153"/>
      <c r="Z22" s="153"/>
      <c r="AA22" s="98"/>
      <c r="AB22" s="98"/>
      <c r="AC22" s="165"/>
      <c r="AD22" s="165"/>
      <c r="AE22" s="166"/>
      <c r="AF22" s="166"/>
      <c r="AG22" s="141"/>
    </row>
    <row r="23" spans="1:33" ht="20.25" customHeight="1" x14ac:dyDescent="0.3">
      <c r="A23" s="106">
        <v>17</v>
      </c>
      <c r="B23" s="138"/>
      <c r="C23" s="143"/>
      <c r="D23" s="140"/>
      <c r="E23" s="165"/>
      <c r="F23" s="165"/>
      <c r="G23" s="166"/>
      <c r="H23" s="166"/>
      <c r="I23" s="99"/>
      <c r="J23" s="99"/>
      <c r="K23" s="98"/>
      <c r="L23" s="98"/>
      <c r="M23" s="165"/>
      <c r="N23" s="165"/>
      <c r="O23" s="166"/>
      <c r="P23" s="166"/>
      <c r="Q23" s="97"/>
      <c r="R23" s="97"/>
      <c r="S23" s="152"/>
      <c r="T23" s="152"/>
      <c r="U23" s="165"/>
      <c r="V23" s="165"/>
      <c r="W23" s="166"/>
      <c r="X23" s="166"/>
      <c r="Y23" s="153"/>
      <c r="Z23" s="153"/>
      <c r="AA23" s="98"/>
      <c r="AB23" s="98"/>
      <c r="AC23" s="165"/>
      <c r="AD23" s="165"/>
      <c r="AE23" s="166"/>
      <c r="AF23" s="166"/>
      <c r="AG23" s="141"/>
    </row>
    <row r="24" spans="1:33" ht="20.25" customHeight="1" x14ac:dyDescent="0.3">
      <c r="A24" s="106">
        <v>18</v>
      </c>
      <c r="B24" s="138"/>
      <c r="C24" s="143"/>
      <c r="D24" s="140"/>
      <c r="E24" s="165"/>
      <c r="F24" s="165"/>
      <c r="G24" s="166"/>
      <c r="H24" s="166"/>
      <c r="I24" s="99"/>
      <c r="J24" s="99"/>
      <c r="K24" s="98"/>
      <c r="L24" s="98"/>
      <c r="M24" s="165"/>
      <c r="N24" s="165"/>
      <c r="O24" s="166"/>
      <c r="P24" s="166"/>
      <c r="Q24" s="97"/>
      <c r="R24" s="97"/>
      <c r="S24" s="152"/>
      <c r="T24" s="152"/>
      <c r="U24" s="165"/>
      <c r="V24" s="165"/>
      <c r="W24" s="166"/>
      <c r="X24" s="166"/>
      <c r="Y24" s="153"/>
      <c r="Z24" s="153"/>
      <c r="AA24" s="98"/>
      <c r="AB24" s="98"/>
      <c r="AC24" s="165"/>
      <c r="AD24" s="165"/>
      <c r="AE24" s="166"/>
      <c r="AF24" s="166"/>
      <c r="AG24" s="141"/>
    </row>
    <row r="25" spans="1:33" ht="20.25" customHeight="1" x14ac:dyDescent="0.3">
      <c r="A25" s="106">
        <v>19</v>
      </c>
      <c r="B25" s="138"/>
      <c r="C25" s="143"/>
      <c r="D25" s="140"/>
      <c r="E25" s="165"/>
      <c r="F25" s="165"/>
      <c r="G25" s="166"/>
      <c r="H25" s="166"/>
      <c r="I25" s="99"/>
      <c r="J25" s="99"/>
      <c r="K25" s="98"/>
      <c r="L25" s="98"/>
      <c r="M25" s="165"/>
      <c r="N25" s="165"/>
      <c r="O25" s="166"/>
      <c r="P25" s="166"/>
      <c r="Q25" s="97"/>
      <c r="R25" s="97"/>
      <c r="S25" s="152"/>
      <c r="T25" s="152"/>
      <c r="U25" s="165"/>
      <c r="V25" s="165"/>
      <c r="W25" s="166"/>
      <c r="X25" s="166"/>
      <c r="Y25" s="153"/>
      <c r="Z25" s="153"/>
      <c r="AA25" s="98"/>
      <c r="AB25" s="98"/>
      <c r="AC25" s="165"/>
      <c r="AD25" s="165"/>
      <c r="AE25" s="166"/>
      <c r="AF25" s="166"/>
      <c r="AG25" s="141"/>
    </row>
    <row r="26" spans="1:33" ht="20.25" customHeight="1" x14ac:dyDescent="0.3">
      <c r="A26" s="106">
        <v>20</v>
      </c>
      <c r="B26" s="138"/>
      <c r="C26" s="139"/>
      <c r="D26" s="140"/>
      <c r="E26" s="165"/>
      <c r="F26" s="165"/>
      <c r="G26" s="166"/>
      <c r="H26" s="166"/>
      <c r="I26" s="99"/>
      <c r="J26" s="99"/>
      <c r="K26" s="98"/>
      <c r="L26" s="98"/>
      <c r="M26" s="165"/>
      <c r="N26" s="165"/>
      <c r="O26" s="166"/>
      <c r="P26" s="166"/>
      <c r="Q26" s="100"/>
      <c r="R26" s="100"/>
      <c r="S26" s="152"/>
      <c r="T26" s="152"/>
      <c r="U26" s="165"/>
      <c r="V26" s="165"/>
      <c r="W26" s="166"/>
      <c r="X26" s="166"/>
      <c r="Y26" s="153"/>
      <c r="Z26" s="153"/>
      <c r="AA26" s="98"/>
      <c r="AB26" s="98"/>
      <c r="AC26" s="165"/>
      <c r="AD26" s="165"/>
      <c r="AE26" s="166"/>
      <c r="AF26" s="166"/>
      <c r="AG26" s="141"/>
    </row>
    <row r="27" spans="1:33" ht="20.25" customHeight="1" x14ac:dyDescent="0.3">
      <c r="A27" s="106">
        <v>21</v>
      </c>
      <c r="B27" s="138"/>
      <c r="C27" s="143"/>
      <c r="D27" s="140"/>
      <c r="E27" s="165"/>
      <c r="F27" s="165"/>
      <c r="G27" s="166"/>
      <c r="H27" s="166"/>
      <c r="I27" s="99"/>
      <c r="J27" s="99"/>
      <c r="K27" s="98"/>
      <c r="L27" s="98"/>
      <c r="M27" s="165"/>
      <c r="N27" s="165"/>
      <c r="O27" s="166"/>
      <c r="P27" s="166"/>
      <c r="Q27" s="97"/>
      <c r="R27" s="97"/>
      <c r="S27" s="152"/>
      <c r="T27" s="152"/>
      <c r="U27" s="165"/>
      <c r="V27" s="165"/>
      <c r="W27" s="166"/>
      <c r="X27" s="166"/>
      <c r="Y27" s="153"/>
      <c r="Z27" s="153"/>
      <c r="AA27" s="98"/>
      <c r="AB27" s="98"/>
      <c r="AC27" s="165"/>
      <c r="AD27" s="165"/>
      <c r="AE27" s="166"/>
      <c r="AF27" s="166"/>
      <c r="AG27" s="141"/>
    </row>
    <row r="28" spans="1:33" ht="20.25" customHeight="1" x14ac:dyDescent="0.3">
      <c r="A28" s="106">
        <v>22</v>
      </c>
      <c r="B28" s="138"/>
      <c r="C28" s="143"/>
      <c r="D28" s="140"/>
      <c r="E28" s="165"/>
      <c r="F28" s="165"/>
      <c r="G28" s="166"/>
      <c r="H28" s="166"/>
      <c r="I28" s="99"/>
      <c r="J28" s="99"/>
      <c r="K28" s="98"/>
      <c r="L28" s="98"/>
      <c r="M28" s="165"/>
      <c r="N28" s="165"/>
      <c r="O28" s="166"/>
      <c r="P28" s="166"/>
      <c r="Q28" s="97"/>
      <c r="R28" s="97"/>
      <c r="S28" s="152"/>
      <c r="T28" s="152"/>
      <c r="U28" s="165"/>
      <c r="V28" s="165"/>
      <c r="W28" s="166"/>
      <c r="X28" s="166"/>
      <c r="Y28" s="153"/>
      <c r="Z28" s="153"/>
      <c r="AA28" s="98"/>
      <c r="AB28" s="98"/>
      <c r="AC28" s="165"/>
      <c r="AD28" s="165"/>
      <c r="AE28" s="166"/>
      <c r="AF28" s="166"/>
      <c r="AG28" s="141"/>
    </row>
    <row r="29" spans="1:33" ht="20.25" customHeight="1" x14ac:dyDescent="0.3">
      <c r="A29" s="106">
        <v>23</v>
      </c>
      <c r="B29" s="138"/>
      <c r="C29" s="143"/>
      <c r="D29" s="140"/>
      <c r="E29" s="165"/>
      <c r="F29" s="165"/>
      <c r="G29" s="166"/>
      <c r="H29" s="166"/>
      <c r="I29" s="99"/>
      <c r="J29" s="99"/>
      <c r="K29" s="98"/>
      <c r="L29" s="98"/>
      <c r="M29" s="165"/>
      <c r="N29" s="165"/>
      <c r="O29" s="166"/>
      <c r="P29" s="166"/>
      <c r="Q29" s="97"/>
      <c r="R29" s="97"/>
      <c r="S29" s="152"/>
      <c r="T29" s="152"/>
      <c r="U29" s="165"/>
      <c r="V29" s="165"/>
      <c r="W29" s="166"/>
      <c r="X29" s="166"/>
      <c r="Y29" s="153"/>
      <c r="Z29" s="153"/>
      <c r="AA29" s="98"/>
      <c r="AB29" s="98"/>
      <c r="AC29" s="165"/>
      <c r="AD29" s="165"/>
      <c r="AE29" s="166"/>
      <c r="AF29" s="166"/>
      <c r="AG29" s="141"/>
    </row>
    <row r="30" spans="1:33" ht="20.25" customHeight="1" x14ac:dyDescent="0.3">
      <c r="A30" s="106">
        <v>24</v>
      </c>
      <c r="B30" s="138"/>
      <c r="C30" s="144"/>
      <c r="D30" s="140"/>
      <c r="E30" s="165"/>
      <c r="F30" s="165"/>
      <c r="G30" s="166"/>
      <c r="H30" s="166"/>
      <c r="I30" s="99"/>
      <c r="J30" s="99"/>
      <c r="K30" s="98"/>
      <c r="L30" s="98"/>
      <c r="M30" s="165"/>
      <c r="N30" s="165"/>
      <c r="O30" s="166"/>
      <c r="P30" s="166"/>
      <c r="Q30" s="97"/>
      <c r="R30" s="97"/>
      <c r="S30" s="152"/>
      <c r="T30" s="152"/>
      <c r="U30" s="165"/>
      <c r="V30" s="165"/>
      <c r="W30" s="166"/>
      <c r="X30" s="166"/>
      <c r="Y30" s="153"/>
      <c r="Z30" s="153"/>
      <c r="AA30" s="98"/>
      <c r="AB30" s="98"/>
      <c r="AC30" s="165"/>
      <c r="AD30" s="165"/>
      <c r="AE30" s="166"/>
      <c r="AF30" s="166"/>
      <c r="AG30" s="141"/>
    </row>
    <row r="31" spans="1:33" ht="20.25" customHeight="1" x14ac:dyDescent="0.3">
      <c r="A31" s="106">
        <v>25</v>
      </c>
      <c r="B31" s="138"/>
      <c r="C31" s="143"/>
      <c r="D31" s="140"/>
      <c r="E31" s="165"/>
      <c r="F31" s="165"/>
      <c r="G31" s="166"/>
      <c r="H31" s="166"/>
      <c r="I31" s="99"/>
      <c r="J31" s="99"/>
      <c r="K31" s="98"/>
      <c r="L31" s="98"/>
      <c r="M31" s="165"/>
      <c r="N31" s="165"/>
      <c r="O31" s="166"/>
      <c r="P31" s="166"/>
      <c r="Q31" s="97"/>
      <c r="R31" s="97"/>
      <c r="S31" s="152"/>
      <c r="T31" s="152"/>
      <c r="U31" s="165"/>
      <c r="V31" s="165"/>
      <c r="W31" s="166"/>
      <c r="X31" s="166"/>
      <c r="Y31" s="153"/>
      <c r="Z31" s="153"/>
      <c r="AA31" s="98"/>
      <c r="AB31" s="98"/>
      <c r="AC31" s="165"/>
      <c r="AD31" s="165"/>
      <c r="AE31" s="166"/>
      <c r="AF31" s="166"/>
      <c r="AG31" s="141"/>
    </row>
    <row r="32" spans="1:33" ht="20.25" customHeight="1" x14ac:dyDescent="0.3">
      <c r="A32" s="106">
        <v>26</v>
      </c>
      <c r="B32" s="138"/>
      <c r="C32" s="143"/>
      <c r="D32" s="140"/>
      <c r="E32" s="165"/>
      <c r="F32" s="165"/>
      <c r="G32" s="166"/>
      <c r="H32" s="166"/>
      <c r="I32" s="99"/>
      <c r="J32" s="99"/>
      <c r="K32" s="98"/>
      <c r="L32" s="98"/>
      <c r="M32" s="165"/>
      <c r="N32" s="165"/>
      <c r="O32" s="166"/>
      <c r="P32" s="166"/>
      <c r="Q32" s="97"/>
      <c r="R32" s="97"/>
      <c r="S32" s="152"/>
      <c r="T32" s="152"/>
      <c r="U32" s="165"/>
      <c r="V32" s="165"/>
      <c r="W32" s="166"/>
      <c r="X32" s="166"/>
      <c r="Y32" s="153"/>
      <c r="Z32" s="153"/>
      <c r="AA32" s="98"/>
      <c r="AB32" s="98"/>
      <c r="AC32" s="165"/>
      <c r="AD32" s="165"/>
      <c r="AE32" s="166"/>
      <c r="AF32" s="166"/>
      <c r="AG32" s="141"/>
    </row>
    <row r="33" spans="1:33" ht="20.25" customHeight="1" x14ac:dyDescent="0.3">
      <c r="A33" s="106">
        <v>27</v>
      </c>
      <c r="B33" s="138"/>
      <c r="C33" s="143"/>
      <c r="D33" s="140"/>
      <c r="E33" s="165"/>
      <c r="F33" s="165"/>
      <c r="G33" s="166"/>
      <c r="H33" s="166"/>
      <c r="I33" s="99"/>
      <c r="J33" s="99"/>
      <c r="K33" s="98"/>
      <c r="L33" s="98"/>
      <c r="M33" s="165"/>
      <c r="N33" s="165"/>
      <c r="O33" s="166"/>
      <c r="P33" s="166"/>
      <c r="Q33" s="97"/>
      <c r="R33" s="97"/>
      <c r="S33" s="152"/>
      <c r="T33" s="152"/>
      <c r="U33" s="165"/>
      <c r="V33" s="165"/>
      <c r="W33" s="166"/>
      <c r="X33" s="166"/>
      <c r="Y33" s="153"/>
      <c r="Z33" s="153"/>
      <c r="AA33" s="98"/>
      <c r="AB33" s="98"/>
      <c r="AC33" s="165"/>
      <c r="AD33" s="165"/>
      <c r="AE33" s="166"/>
      <c r="AF33" s="166"/>
      <c r="AG33" s="141"/>
    </row>
    <row r="34" spans="1:33" ht="20.25" customHeight="1" x14ac:dyDescent="0.3">
      <c r="A34" s="106">
        <v>28</v>
      </c>
      <c r="B34" s="138"/>
      <c r="C34" s="143"/>
      <c r="D34" s="140"/>
      <c r="E34" s="165"/>
      <c r="F34" s="165"/>
      <c r="G34" s="166"/>
      <c r="H34" s="166"/>
      <c r="I34" s="99"/>
      <c r="J34" s="99"/>
      <c r="K34" s="98"/>
      <c r="L34" s="98"/>
      <c r="M34" s="165"/>
      <c r="N34" s="165"/>
      <c r="O34" s="166"/>
      <c r="P34" s="166"/>
      <c r="Q34" s="97"/>
      <c r="R34" s="97"/>
      <c r="S34" s="152"/>
      <c r="T34" s="152"/>
      <c r="U34" s="165"/>
      <c r="V34" s="165"/>
      <c r="W34" s="166"/>
      <c r="X34" s="166"/>
      <c r="Y34" s="153"/>
      <c r="Z34" s="153"/>
      <c r="AA34" s="98"/>
      <c r="AB34" s="98"/>
      <c r="AC34" s="165"/>
      <c r="AD34" s="165"/>
      <c r="AE34" s="166"/>
      <c r="AF34" s="166"/>
      <c r="AG34" s="141"/>
    </row>
    <row r="35" spans="1:33" ht="20.25" customHeight="1" x14ac:dyDescent="0.3">
      <c r="A35" s="106">
        <v>29</v>
      </c>
      <c r="B35" s="138"/>
      <c r="C35" s="143"/>
      <c r="D35" s="145"/>
      <c r="E35" s="165"/>
      <c r="F35" s="165"/>
      <c r="G35" s="166"/>
      <c r="H35" s="166"/>
      <c r="I35" s="99"/>
      <c r="J35" s="99"/>
      <c r="K35" s="98"/>
      <c r="L35" s="98"/>
      <c r="M35" s="165"/>
      <c r="N35" s="165"/>
      <c r="O35" s="166"/>
      <c r="P35" s="166"/>
      <c r="Q35" s="97"/>
      <c r="R35" s="97"/>
      <c r="S35" s="152"/>
      <c r="T35" s="152"/>
      <c r="U35" s="165"/>
      <c r="V35" s="165"/>
      <c r="W35" s="166"/>
      <c r="X35" s="166"/>
      <c r="Y35" s="153"/>
      <c r="Z35" s="153"/>
      <c r="AA35" s="98"/>
      <c r="AB35" s="98"/>
      <c r="AC35" s="165"/>
      <c r="AD35" s="165"/>
      <c r="AE35" s="166"/>
      <c r="AF35" s="166"/>
      <c r="AG35" s="141"/>
    </row>
    <row r="36" spans="1:33" ht="20.25" customHeight="1" x14ac:dyDescent="0.3">
      <c r="A36" s="106">
        <v>30</v>
      </c>
      <c r="B36" s="138"/>
      <c r="C36" s="143"/>
      <c r="D36" s="140"/>
      <c r="E36" s="165"/>
      <c r="F36" s="165"/>
      <c r="G36" s="166"/>
      <c r="H36" s="166"/>
      <c r="I36" s="99"/>
      <c r="J36" s="99"/>
      <c r="K36" s="98"/>
      <c r="L36" s="98"/>
      <c r="M36" s="165"/>
      <c r="N36" s="165"/>
      <c r="O36" s="166"/>
      <c r="P36" s="166"/>
      <c r="Q36" s="97"/>
      <c r="R36" s="97"/>
      <c r="S36" s="152"/>
      <c r="T36" s="152"/>
      <c r="U36" s="165"/>
      <c r="V36" s="165"/>
      <c r="W36" s="166"/>
      <c r="X36" s="166"/>
      <c r="Y36" s="153"/>
      <c r="Z36" s="153"/>
      <c r="AA36" s="98"/>
      <c r="AB36" s="98"/>
      <c r="AC36" s="165"/>
      <c r="AD36" s="165"/>
      <c r="AE36" s="166"/>
      <c r="AF36" s="166"/>
      <c r="AG36" s="141"/>
    </row>
    <row r="37" spans="1:33" ht="20.25" customHeight="1" x14ac:dyDescent="0.3">
      <c r="A37" s="106">
        <v>31</v>
      </c>
      <c r="B37" s="138"/>
      <c r="C37" s="143"/>
      <c r="D37" s="145"/>
      <c r="E37" s="165"/>
      <c r="F37" s="165"/>
      <c r="G37" s="166"/>
      <c r="H37" s="166"/>
      <c r="I37" s="99"/>
      <c r="J37" s="99"/>
      <c r="K37" s="98"/>
      <c r="L37" s="98"/>
      <c r="M37" s="165"/>
      <c r="N37" s="165"/>
      <c r="O37" s="166"/>
      <c r="P37" s="166"/>
      <c r="Q37" s="97"/>
      <c r="R37" s="97"/>
      <c r="S37" s="152"/>
      <c r="T37" s="152"/>
      <c r="U37" s="165"/>
      <c r="V37" s="165"/>
      <c r="W37" s="166"/>
      <c r="X37" s="166"/>
      <c r="Y37" s="153"/>
      <c r="Z37" s="153"/>
      <c r="AA37" s="98"/>
      <c r="AB37" s="98"/>
      <c r="AC37" s="165"/>
      <c r="AD37" s="165"/>
      <c r="AE37" s="166"/>
      <c r="AF37" s="166"/>
      <c r="AG37" s="141"/>
    </row>
    <row r="38" spans="1:33" ht="20.25" customHeight="1" x14ac:dyDescent="0.3">
      <c r="A38" s="106">
        <v>32</v>
      </c>
      <c r="B38" s="138"/>
      <c r="C38" s="143"/>
      <c r="D38" s="140"/>
      <c r="E38" s="165"/>
      <c r="F38" s="165"/>
      <c r="G38" s="166"/>
      <c r="H38" s="166"/>
      <c r="I38" s="99"/>
      <c r="J38" s="99"/>
      <c r="K38" s="98"/>
      <c r="L38" s="98"/>
      <c r="M38" s="165"/>
      <c r="N38" s="165"/>
      <c r="O38" s="166"/>
      <c r="P38" s="166"/>
      <c r="Q38" s="97"/>
      <c r="R38" s="97"/>
      <c r="S38" s="152"/>
      <c r="T38" s="152"/>
      <c r="U38" s="165"/>
      <c r="V38" s="165"/>
      <c r="W38" s="166"/>
      <c r="X38" s="166"/>
      <c r="Y38" s="153"/>
      <c r="Z38" s="153"/>
      <c r="AA38" s="98"/>
      <c r="AB38" s="98"/>
      <c r="AC38" s="165"/>
      <c r="AD38" s="165"/>
      <c r="AE38" s="166"/>
      <c r="AF38" s="166"/>
      <c r="AG38" s="141"/>
    </row>
    <row r="39" spans="1:33" ht="20.25" customHeight="1" x14ac:dyDescent="0.3">
      <c r="A39" s="106">
        <v>33</v>
      </c>
      <c r="B39" s="138"/>
      <c r="C39" s="143"/>
      <c r="D39" s="140"/>
      <c r="E39" s="165"/>
      <c r="F39" s="165"/>
      <c r="G39" s="166"/>
      <c r="H39" s="166"/>
      <c r="I39" s="99"/>
      <c r="J39" s="99"/>
      <c r="K39" s="98"/>
      <c r="L39" s="98"/>
      <c r="M39" s="165"/>
      <c r="N39" s="165"/>
      <c r="O39" s="166"/>
      <c r="P39" s="166"/>
      <c r="Q39" s="95"/>
      <c r="R39" s="95"/>
      <c r="S39" s="152"/>
      <c r="T39" s="152"/>
      <c r="U39" s="165"/>
      <c r="V39" s="165"/>
      <c r="W39" s="166"/>
      <c r="X39" s="166"/>
      <c r="Y39" s="153"/>
      <c r="Z39" s="153"/>
      <c r="AA39" s="98"/>
      <c r="AB39" s="98"/>
      <c r="AC39" s="165"/>
      <c r="AD39" s="165"/>
      <c r="AE39" s="166"/>
      <c r="AF39" s="166"/>
      <c r="AG39" s="141"/>
    </row>
    <row r="40" spans="1:33" ht="20.25" customHeight="1" x14ac:dyDescent="0.3">
      <c r="A40" s="106">
        <v>34</v>
      </c>
      <c r="B40" s="138"/>
      <c r="C40" s="144"/>
      <c r="D40" s="140"/>
      <c r="E40" s="165"/>
      <c r="F40" s="165"/>
      <c r="G40" s="166"/>
      <c r="H40" s="166"/>
      <c r="I40" s="99"/>
      <c r="J40" s="99"/>
      <c r="K40" s="98"/>
      <c r="L40" s="98"/>
      <c r="M40" s="165"/>
      <c r="N40" s="165"/>
      <c r="O40" s="166"/>
      <c r="P40" s="166"/>
      <c r="Q40" s="97"/>
      <c r="R40" s="97"/>
      <c r="S40" s="152"/>
      <c r="T40" s="152"/>
      <c r="U40" s="165"/>
      <c r="V40" s="165"/>
      <c r="W40" s="166"/>
      <c r="X40" s="166"/>
      <c r="Y40" s="153"/>
      <c r="Z40" s="153"/>
      <c r="AA40" s="98"/>
      <c r="AB40" s="98"/>
      <c r="AC40" s="165"/>
      <c r="AD40" s="165"/>
      <c r="AE40" s="166"/>
      <c r="AF40" s="166"/>
      <c r="AG40" s="141"/>
    </row>
    <row r="41" spans="1:33" ht="20.25" customHeight="1" x14ac:dyDescent="0.3">
      <c r="A41" s="106">
        <v>35</v>
      </c>
      <c r="B41" s="138"/>
      <c r="C41" s="143"/>
      <c r="D41" s="140"/>
      <c r="E41" s="165"/>
      <c r="F41" s="165"/>
      <c r="G41" s="166"/>
      <c r="H41" s="166"/>
      <c r="I41" s="99"/>
      <c r="J41" s="99"/>
      <c r="K41" s="98"/>
      <c r="L41" s="98"/>
      <c r="M41" s="165"/>
      <c r="N41" s="165"/>
      <c r="O41" s="166"/>
      <c r="P41" s="166"/>
      <c r="Q41" s="97"/>
      <c r="R41" s="97"/>
      <c r="S41" s="152"/>
      <c r="T41" s="152"/>
      <c r="U41" s="165"/>
      <c r="V41" s="165"/>
      <c r="W41" s="166"/>
      <c r="X41" s="166"/>
      <c r="Y41" s="153"/>
      <c r="Z41" s="153"/>
      <c r="AA41" s="98"/>
      <c r="AB41" s="98"/>
      <c r="AC41" s="165"/>
      <c r="AD41" s="165"/>
      <c r="AE41" s="166"/>
      <c r="AF41" s="166"/>
      <c r="AG41" s="141"/>
    </row>
    <row r="42" spans="1:33" ht="20.25" customHeight="1" x14ac:dyDescent="0.3">
      <c r="A42" s="106">
        <v>36</v>
      </c>
      <c r="B42" s="138"/>
      <c r="C42" s="143"/>
      <c r="D42" s="140"/>
      <c r="E42" s="165"/>
      <c r="F42" s="165"/>
      <c r="G42" s="166"/>
      <c r="H42" s="166"/>
      <c r="I42" s="99"/>
      <c r="J42" s="99"/>
      <c r="K42" s="98"/>
      <c r="L42" s="98"/>
      <c r="M42" s="165"/>
      <c r="N42" s="165"/>
      <c r="O42" s="166"/>
      <c r="P42" s="166"/>
      <c r="Q42" s="97"/>
      <c r="R42" s="97"/>
      <c r="S42" s="152"/>
      <c r="T42" s="152"/>
      <c r="U42" s="165"/>
      <c r="V42" s="165"/>
      <c r="W42" s="166"/>
      <c r="X42" s="166"/>
      <c r="Y42" s="153"/>
      <c r="Z42" s="153"/>
      <c r="AA42" s="98"/>
      <c r="AB42" s="98"/>
      <c r="AC42" s="165"/>
      <c r="AD42" s="165"/>
      <c r="AE42" s="166"/>
      <c r="AF42" s="166"/>
      <c r="AG42" s="141"/>
    </row>
    <row r="43" spans="1:33" ht="20.25" customHeight="1" x14ac:dyDescent="0.3">
      <c r="A43" s="106">
        <v>37</v>
      </c>
      <c r="B43" s="138"/>
      <c r="C43" s="143"/>
      <c r="D43" s="140"/>
      <c r="E43" s="165"/>
      <c r="F43" s="165"/>
      <c r="G43" s="166"/>
      <c r="H43" s="166"/>
      <c r="I43" s="99"/>
      <c r="J43" s="99"/>
      <c r="K43" s="98"/>
      <c r="L43" s="98"/>
      <c r="M43" s="165"/>
      <c r="N43" s="165"/>
      <c r="O43" s="166"/>
      <c r="P43" s="166"/>
      <c r="Q43" s="97"/>
      <c r="R43" s="97"/>
      <c r="S43" s="152"/>
      <c r="T43" s="152"/>
      <c r="U43" s="165"/>
      <c r="V43" s="165"/>
      <c r="W43" s="166"/>
      <c r="X43" s="166"/>
      <c r="Y43" s="153"/>
      <c r="Z43" s="153"/>
      <c r="AA43" s="98"/>
      <c r="AB43" s="98"/>
      <c r="AC43" s="165"/>
      <c r="AD43" s="165"/>
      <c r="AE43" s="166"/>
      <c r="AF43" s="166"/>
      <c r="AG43" s="141"/>
    </row>
    <row r="44" spans="1:33" ht="20.25" customHeight="1" x14ac:dyDescent="0.3">
      <c r="A44" s="106">
        <v>38</v>
      </c>
      <c r="B44" s="138"/>
      <c r="C44" s="143"/>
      <c r="D44" s="140"/>
      <c r="E44" s="165"/>
      <c r="F44" s="165"/>
      <c r="G44" s="166"/>
      <c r="H44" s="166"/>
      <c r="I44" s="99"/>
      <c r="J44" s="99"/>
      <c r="K44" s="98"/>
      <c r="L44" s="98"/>
      <c r="M44" s="165"/>
      <c r="N44" s="165"/>
      <c r="O44" s="166"/>
      <c r="P44" s="166"/>
      <c r="Q44" s="97"/>
      <c r="R44" s="97"/>
      <c r="S44" s="152"/>
      <c r="T44" s="152"/>
      <c r="U44" s="165"/>
      <c r="V44" s="165"/>
      <c r="W44" s="166"/>
      <c r="X44" s="166"/>
      <c r="Y44" s="153"/>
      <c r="Z44" s="153"/>
      <c r="AA44" s="98"/>
      <c r="AB44" s="98"/>
      <c r="AC44" s="165"/>
      <c r="AD44" s="165"/>
      <c r="AE44" s="166"/>
      <c r="AF44" s="166"/>
      <c r="AG44" s="141"/>
    </row>
    <row r="45" spans="1:33" ht="20.25" customHeight="1" x14ac:dyDescent="0.3">
      <c r="A45" s="106">
        <v>39</v>
      </c>
      <c r="B45" s="138"/>
      <c r="C45" s="143"/>
      <c r="D45" s="140"/>
      <c r="E45" s="165"/>
      <c r="F45" s="165"/>
      <c r="G45" s="166"/>
      <c r="H45" s="166"/>
      <c r="I45" s="99"/>
      <c r="J45" s="99"/>
      <c r="K45" s="98"/>
      <c r="L45" s="98"/>
      <c r="M45" s="165"/>
      <c r="N45" s="165"/>
      <c r="O45" s="166"/>
      <c r="P45" s="166"/>
      <c r="Q45" s="97"/>
      <c r="R45" s="97"/>
      <c r="S45" s="152"/>
      <c r="T45" s="152"/>
      <c r="U45" s="165"/>
      <c r="V45" s="165"/>
      <c r="W45" s="166"/>
      <c r="X45" s="166"/>
      <c r="Y45" s="153"/>
      <c r="Z45" s="153"/>
      <c r="AA45" s="98"/>
      <c r="AB45" s="98"/>
      <c r="AC45" s="165"/>
      <c r="AD45" s="165"/>
      <c r="AE45" s="166"/>
      <c r="AF45" s="166"/>
      <c r="AG45" s="141"/>
    </row>
    <row r="46" spans="1:33" ht="20.25" customHeight="1" x14ac:dyDescent="0.3">
      <c r="A46" s="106">
        <v>40</v>
      </c>
      <c r="B46" s="138"/>
      <c r="C46" s="143"/>
      <c r="D46" s="140"/>
      <c r="E46" s="165"/>
      <c r="F46" s="165"/>
      <c r="G46" s="166"/>
      <c r="H46" s="166"/>
      <c r="I46" s="99"/>
      <c r="J46" s="99"/>
      <c r="K46" s="98"/>
      <c r="L46" s="98"/>
      <c r="M46" s="165"/>
      <c r="N46" s="165"/>
      <c r="O46" s="166"/>
      <c r="P46" s="166"/>
      <c r="Q46" s="97"/>
      <c r="R46" s="97"/>
      <c r="S46" s="152"/>
      <c r="T46" s="152"/>
      <c r="U46" s="165"/>
      <c r="V46" s="165"/>
      <c r="W46" s="166"/>
      <c r="X46" s="166"/>
      <c r="Y46" s="153"/>
      <c r="Z46" s="153"/>
      <c r="AA46" s="98"/>
      <c r="AB46" s="98"/>
      <c r="AC46" s="165"/>
      <c r="AD46" s="165"/>
      <c r="AE46" s="166"/>
      <c r="AF46" s="166"/>
      <c r="AG46" s="141"/>
    </row>
    <row r="47" spans="1:33" ht="20.25" customHeight="1" x14ac:dyDescent="0.3">
      <c r="A47" s="106">
        <v>41</v>
      </c>
      <c r="B47" s="146"/>
      <c r="C47" s="139"/>
      <c r="D47" s="140"/>
      <c r="E47" s="165"/>
      <c r="F47" s="165"/>
      <c r="G47" s="166"/>
      <c r="H47" s="166"/>
      <c r="I47" s="97"/>
      <c r="J47" s="97"/>
      <c r="K47" s="98"/>
      <c r="L47" s="98"/>
      <c r="M47" s="165"/>
      <c r="N47" s="165"/>
      <c r="O47" s="166"/>
      <c r="P47" s="166"/>
      <c r="Q47" s="97"/>
      <c r="R47" s="97"/>
      <c r="S47" s="152"/>
      <c r="T47" s="152"/>
      <c r="U47" s="165"/>
      <c r="V47" s="165"/>
      <c r="W47" s="166"/>
      <c r="X47" s="166"/>
      <c r="Y47" s="153"/>
      <c r="Z47" s="153"/>
      <c r="AA47" s="98"/>
      <c r="AB47" s="98"/>
      <c r="AC47" s="165"/>
      <c r="AD47" s="165"/>
      <c r="AE47" s="166"/>
      <c r="AF47" s="166"/>
      <c r="AG47" s="141"/>
    </row>
    <row r="48" spans="1:33" ht="20.25" customHeight="1" x14ac:dyDescent="0.3">
      <c r="A48" s="106">
        <v>42</v>
      </c>
      <c r="B48" s="146"/>
      <c r="C48" s="143"/>
      <c r="D48" s="140"/>
      <c r="E48" s="165"/>
      <c r="F48" s="165"/>
      <c r="G48" s="166"/>
      <c r="H48" s="166"/>
      <c r="I48" s="99"/>
      <c r="J48" s="99"/>
      <c r="K48" s="98"/>
      <c r="L48" s="98"/>
      <c r="M48" s="165"/>
      <c r="N48" s="165"/>
      <c r="O48" s="166"/>
      <c r="P48" s="166"/>
      <c r="Q48" s="97"/>
      <c r="R48" s="97"/>
      <c r="S48" s="152"/>
      <c r="T48" s="152"/>
      <c r="U48" s="165"/>
      <c r="V48" s="165"/>
      <c r="W48" s="166"/>
      <c r="X48" s="166"/>
      <c r="Y48" s="153"/>
      <c r="Z48" s="153"/>
      <c r="AA48" s="98"/>
      <c r="AB48" s="98"/>
      <c r="AC48" s="165"/>
      <c r="AD48" s="165"/>
      <c r="AE48" s="166"/>
      <c r="AF48" s="166"/>
      <c r="AG48" s="141"/>
    </row>
    <row r="49" spans="1:33" ht="20.25" customHeight="1" x14ac:dyDescent="0.3">
      <c r="A49" s="106">
        <v>43</v>
      </c>
      <c r="B49" s="138"/>
      <c r="C49" s="143"/>
      <c r="D49" s="140"/>
      <c r="E49" s="165"/>
      <c r="F49" s="165"/>
      <c r="G49" s="166"/>
      <c r="H49" s="166"/>
      <c r="I49" s="99"/>
      <c r="J49" s="99"/>
      <c r="K49" s="98"/>
      <c r="L49" s="98"/>
      <c r="M49" s="165"/>
      <c r="N49" s="165"/>
      <c r="O49" s="166"/>
      <c r="P49" s="166"/>
      <c r="Q49" s="97"/>
      <c r="R49" s="97"/>
      <c r="S49" s="152"/>
      <c r="T49" s="152"/>
      <c r="U49" s="165"/>
      <c r="V49" s="165"/>
      <c r="W49" s="166"/>
      <c r="X49" s="166"/>
      <c r="Y49" s="153"/>
      <c r="Z49" s="154"/>
      <c r="AA49" s="98"/>
      <c r="AB49" s="98"/>
      <c r="AC49" s="165"/>
      <c r="AD49" s="165"/>
      <c r="AE49" s="166"/>
      <c r="AF49" s="166"/>
      <c r="AG49" s="141"/>
    </row>
    <row r="50" spans="1:33" ht="20.25" customHeight="1" x14ac:dyDescent="0.3">
      <c r="A50" s="106">
        <v>44</v>
      </c>
      <c r="B50" s="146"/>
      <c r="C50" s="143"/>
      <c r="D50" s="140"/>
      <c r="E50" s="165"/>
      <c r="F50" s="165"/>
      <c r="G50" s="166"/>
      <c r="H50" s="166"/>
      <c r="I50" s="99"/>
      <c r="J50" s="99"/>
      <c r="K50" s="98"/>
      <c r="L50" s="98"/>
      <c r="M50" s="165"/>
      <c r="N50" s="165"/>
      <c r="O50" s="166"/>
      <c r="P50" s="166"/>
      <c r="Q50" s="97"/>
      <c r="R50" s="97"/>
      <c r="S50" s="152"/>
      <c r="T50" s="152"/>
      <c r="U50" s="165"/>
      <c r="V50" s="165"/>
      <c r="W50" s="166"/>
      <c r="X50" s="166"/>
      <c r="Y50" s="153"/>
      <c r="Z50" s="153"/>
      <c r="AA50" s="98"/>
      <c r="AB50" s="98"/>
      <c r="AC50" s="165"/>
      <c r="AD50" s="165"/>
      <c r="AE50" s="166"/>
      <c r="AF50" s="166"/>
      <c r="AG50" s="141"/>
    </row>
    <row r="51" spans="1:33" ht="20.25" customHeight="1" x14ac:dyDescent="0.3">
      <c r="A51" s="106">
        <v>45</v>
      </c>
      <c r="B51" s="146"/>
      <c r="C51" s="143"/>
      <c r="D51" s="140"/>
      <c r="E51" s="165"/>
      <c r="F51" s="165"/>
      <c r="G51" s="166"/>
      <c r="H51" s="166"/>
      <c r="I51" s="99"/>
      <c r="J51" s="99"/>
      <c r="K51" s="98"/>
      <c r="L51" s="98"/>
      <c r="M51" s="165"/>
      <c r="N51" s="165"/>
      <c r="O51" s="166"/>
      <c r="P51" s="166"/>
      <c r="Q51" s="97"/>
      <c r="R51" s="97"/>
      <c r="S51" s="152"/>
      <c r="T51" s="152"/>
      <c r="U51" s="165"/>
      <c r="V51" s="165"/>
      <c r="W51" s="166"/>
      <c r="X51" s="166"/>
      <c r="Y51" s="153"/>
      <c r="Z51" s="153"/>
      <c r="AA51" s="98"/>
      <c r="AB51" s="98"/>
      <c r="AC51" s="165"/>
      <c r="AD51" s="165"/>
      <c r="AE51" s="166"/>
      <c r="AF51" s="166"/>
      <c r="AG51" s="141"/>
    </row>
    <row r="52" spans="1:33" ht="20.25" customHeight="1" x14ac:dyDescent="0.3">
      <c r="A52" s="106">
        <v>46</v>
      </c>
      <c r="B52" s="146"/>
      <c r="C52" s="143"/>
      <c r="D52" s="140"/>
      <c r="E52" s="165"/>
      <c r="F52" s="165"/>
      <c r="G52" s="166"/>
      <c r="H52" s="166"/>
      <c r="I52" s="99"/>
      <c r="J52" s="99"/>
      <c r="K52" s="98"/>
      <c r="L52" s="98"/>
      <c r="M52" s="165"/>
      <c r="N52" s="165"/>
      <c r="O52" s="166"/>
      <c r="P52" s="166"/>
      <c r="Q52" s="97"/>
      <c r="R52" s="97"/>
      <c r="S52" s="152"/>
      <c r="T52" s="152"/>
      <c r="U52" s="165"/>
      <c r="V52" s="165"/>
      <c r="W52" s="166"/>
      <c r="X52" s="166"/>
      <c r="Y52" s="153"/>
      <c r="Z52" s="153"/>
      <c r="AA52" s="98"/>
      <c r="AB52" s="98"/>
      <c r="AC52" s="165"/>
      <c r="AD52" s="165"/>
      <c r="AE52" s="166"/>
      <c r="AF52" s="166"/>
      <c r="AG52" s="141"/>
    </row>
    <row r="53" spans="1:33" ht="20.25" customHeight="1" x14ac:dyDescent="0.3">
      <c r="A53" s="106">
        <v>47</v>
      </c>
      <c r="B53" s="146"/>
      <c r="C53" s="143"/>
      <c r="D53" s="140"/>
      <c r="E53" s="165"/>
      <c r="F53" s="165"/>
      <c r="G53" s="166"/>
      <c r="H53" s="166"/>
      <c r="I53" s="99"/>
      <c r="J53" s="99"/>
      <c r="K53" s="98"/>
      <c r="L53" s="98"/>
      <c r="M53" s="165"/>
      <c r="N53" s="165"/>
      <c r="O53" s="166"/>
      <c r="P53" s="166"/>
      <c r="Q53" s="97"/>
      <c r="R53" s="97"/>
      <c r="S53" s="152"/>
      <c r="T53" s="152"/>
      <c r="U53" s="165"/>
      <c r="V53" s="165"/>
      <c r="W53" s="166"/>
      <c r="X53" s="166"/>
      <c r="Y53" s="153"/>
      <c r="Z53" s="153"/>
      <c r="AA53" s="98"/>
      <c r="AB53" s="98"/>
      <c r="AC53" s="165"/>
      <c r="AD53" s="165"/>
      <c r="AE53" s="166"/>
      <c r="AF53" s="166"/>
      <c r="AG53" s="141"/>
    </row>
    <row r="54" spans="1:33" ht="20.25" customHeight="1" x14ac:dyDescent="0.3">
      <c r="A54" s="106">
        <v>48</v>
      </c>
      <c r="B54" s="146"/>
      <c r="C54" s="143"/>
      <c r="D54" s="140"/>
      <c r="E54" s="165"/>
      <c r="F54" s="165"/>
      <c r="G54" s="166"/>
      <c r="H54" s="166"/>
      <c r="I54" s="99"/>
      <c r="J54" s="99"/>
      <c r="K54" s="98"/>
      <c r="L54" s="98"/>
      <c r="M54" s="165"/>
      <c r="N54" s="165"/>
      <c r="O54" s="166"/>
      <c r="P54" s="166"/>
      <c r="Q54" s="97"/>
      <c r="R54" s="97"/>
      <c r="S54" s="152"/>
      <c r="T54" s="152"/>
      <c r="U54" s="165"/>
      <c r="V54" s="165"/>
      <c r="W54" s="166"/>
      <c r="X54" s="166"/>
      <c r="Y54" s="153"/>
      <c r="Z54" s="153"/>
      <c r="AA54" s="98"/>
      <c r="AB54" s="98"/>
      <c r="AC54" s="165"/>
      <c r="AD54" s="165"/>
      <c r="AE54" s="166"/>
      <c r="AF54" s="166"/>
      <c r="AG54" s="141"/>
    </row>
    <row r="55" spans="1:33" ht="20.25" customHeight="1" x14ac:dyDescent="0.3">
      <c r="A55" s="106">
        <v>49</v>
      </c>
      <c r="B55" s="138"/>
      <c r="C55" s="143"/>
      <c r="D55" s="140"/>
      <c r="E55" s="165"/>
      <c r="F55" s="165"/>
      <c r="G55" s="166"/>
      <c r="H55" s="166"/>
      <c r="I55" s="99"/>
      <c r="J55" s="99"/>
      <c r="K55" s="98"/>
      <c r="L55" s="98"/>
      <c r="M55" s="165"/>
      <c r="N55" s="165"/>
      <c r="O55" s="166"/>
      <c r="P55" s="166"/>
      <c r="Q55" s="97"/>
      <c r="R55" s="97"/>
      <c r="S55" s="152"/>
      <c r="T55" s="152"/>
      <c r="U55" s="165"/>
      <c r="V55" s="165"/>
      <c r="W55" s="166"/>
      <c r="X55" s="166"/>
      <c r="Y55" s="153"/>
      <c r="Z55" s="153"/>
      <c r="AA55" s="98"/>
      <c r="AB55" s="98"/>
      <c r="AC55" s="165"/>
      <c r="AD55" s="165"/>
      <c r="AE55" s="166"/>
      <c r="AF55" s="166"/>
      <c r="AG55" s="141"/>
    </row>
    <row r="56" spans="1:33" ht="20.25" customHeight="1" x14ac:dyDescent="0.3">
      <c r="A56" s="106">
        <v>50</v>
      </c>
      <c r="B56" s="138"/>
      <c r="C56" s="139"/>
      <c r="D56" s="140"/>
      <c r="E56" s="165"/>
      <c r="F56" s="165"/>
      <c r="G56" s="166"/>
      <c r="H56" s="166"/>
      <c r="I56" s="97"/>
      <c r="J56" s="97"/>
      <c r="K56" s="98"/>
      <c r="L56" s="98"/>
      <c r="M56" s="165"/>
      <c r="N56" s="165"/>
      <c r="O56" s="166"/>
      <c r="P56" s="166"/>
      <c r="Q56" s="97"/>
      <c r="R56" s="97"/>
      <c r="S56" s="152"/>
      <c r="T56" s="152"/>
      <c r="U56" s="165"/>
      <c r="V56" s="165"/>
      <c r="W56" s="166"/>
      <c r="X56" s="166"/>
      <c r="Y56" s="153"/>
      <c r="Z56" s="153"/>
      <c r="AA56" s="98"/>
      <c r="AB56" s="98"/>
      <c r="AC56" s="165"/>
      <c r="AD56" s="165"/>
      <c r="AE56" s="166"/>
      <c r="AF56" s="166"/>
      <c r="AG56" s="141"/>
    </row>
    <row r="57" spans="1:33" ht="20.25" customHeight="1" x14ac:dyDescent="0.3">
      <c r="A57" s="106">
        <v>51</v>
      </c>
      <c r="B57" s="138"/>
      <c r="C57" s="143"/>
      <c r="D57" s="140"/>
      <c r="E57" s="165"/>
      <c r="F57" s="165"/>
      <c r="G57" s="166"/>
      <c r="H57" s="166"/>
      <c r="I57" s="99"/>
      <c r="J57" s="99"/>
      <c r="K57" s="98"/>
      <c r="L57" s="98"/>
      <c r="M57" s="165"/>
      <c r="N57" s="165"/>
      <c r="O57" s="166"/>
      <c r="P57" s="166"/>
      <c r="Q57" s="97"/>
      <c r="R57" s="97"/>
      <c r="S57" s="152"/>
      <c r="T57" s="152"/>
      <c r="U57" s="165"/>
      <c r="V57" s="165"/>
      <c r="W57" s="166"/>
      <c r="X57" s="166"/>
      <c r="Y57" s="153"/>
      <c r="Z57" s="153"/>
      <c r="AA57" s="98"/>
      <c r="AB57" s="98"/>
      <c r="AC57" s="165"/>
      <c r="AD57" s="165"/>
      <c r="AE57" s="166"/>
      <c r="AF57" s="166"/>
      <c r="AG57" s="141"/>
    </row>
    <row r="58" spans="1:33" ht="20.25" customHeight="1" x14ac:dyDescent="0.3">
      <c r="A58" s="106">
        <v>52</v>
      </c>
      <c r="B58" s="146"/>
      <c r="C58" s="143"/>
      <c r="D58" s="140"/>
      <c r="E58" s="165"/>
      <c r="F58" s="165"/>
      <c r="G58" s="166"/>
      <c r="H58" s="166"/>
      <c r="I58" s="99"/>
      <c r="J58" s="99"/>
      <c r="K58" s="98"/>
      <c r="L58" s="98"/>
      <c r="M58" s="165"/>
      <c r="N58" s="165"/>
      <c r="O58" s="166"/>
      <c r="P58" s="166"/>
      <c r="Q58" s="97"/>
      <c r="R58" s="97"/>
      <c r="S58" s="152"/>
      <c r="T58" s="152"/>
      <c r="U58" s="165"/>
      <c r="V58" s="165"/>
      <c r="W58" s="166"/>
      <c r="X58" s="166"/>
      <c r="Y58" s="153"/>
      <c r="Z58" s="153"/>
      <c r="AA58" s="98"/>
      <c r="AB58" s="98"/>
      <c r="AC58" s="165"/>
      <c r="AD58" s="165"/>
      <c r="AE58" s="166"/>
      <c r="AF58" s="166"/>
      <c r="AG58" s="141"/>
    </row>
    <row r="59" spans="1:33" ht="20.25" customHeight="1" x14ac:dyDescent="0.3">
      <c r="A59" s="106">
        <v>53</v>
      </c>
      <c r="B59" s="146"/>
      <c r="C59" s="143"/>
      <c r="D59" s="140"/>
      <c r="E59" s="165"/>
      <c r="F59" s="165"/>
      <c r="G59" s="166"/>
      <c r="H59" s="166"/>
      <c r="I59" s="99"/>
      <c r="J59" s="99"/>
      <c r="K59" s="98"/>
      <c r="L59" s="98"/>
      <c r="M59" s="165"/>
      <c r="N59" s="165"/>
      <c r="O59" s="166"/>
      <c r="P59" s="166"/>
      <c r="Q59" s="97"/>
      <c r="R59" s="97"/>
      <c r="S59" s="152"/>
      <c r="T59" s="152"/>
      <c r="U59" s="165"/>
      <c r="V59" s="165"/>
      <c r="W59" s="166"/>
      <c r="X59" s="166"/>
      <c r="Y59" s="153"/>
      <c r="Z59" s="153"/>
      <c r="AA59" s="98"/>
      <c r="AB59" s="98"/>
      <c r="AC59" s="165"/>
      <c r="AD59" s="165"/>
      <c r="AE59" s="166"/>
      <c r="AF59" s="166"/>
      <c r="AG59" s="141"/>
    </row>
    <row r="60" spans="1:33" ht="20.25" customHeight="1" x14ac:dyDescent="0.3">
      <c r="A60" s="106">
        <v>54</v>
      </c>
      <c r="B60" s="146"/>
      <c r="C60" s="143"/>
      <c r="D60" s="140"/>
      <c r="E60" s="165"/>
      <c r="F60" s="165"/>
      <c r="G60" s="166"/>
      <c r="H60" s="166"/>
      <c r="I60" s="99"/>
      <c r="J60" s="99"/>
      <c r="K60" s="98"/>
      <c r="L60" s="98"/>
      <c r="M60" s="165"/>
      <c r="N60" s="165"/>
      <c r="O60" s="166"/>
      <c r="P60" s="166"/>
      <c r="Q60" s="100"/>
      <c r="R60" s="100"/>
      <c r="S60" s="152"/>
      <c r="T60" s="152"/>
      <c r="U60" s="165"/>
      <c r="V60" s="165"/>
      <c r="W60" s="166"/>
      <c r="X60" s="166"/>
      <c r="Y60" s="153"/>
      <c r="Z60" s="153"/>
      <c r="AA60" s="98"/>
      <c r="AB60" s="98"/>
      <c r="AC60" s="165"/>
      <c r="AD60" s="165"/>
      <c r="AE60" s="166"/>
      <c r="AF60" s="166"/>
      <c r="AG60" s="141"/>
    </row>
    <row r="61" spans="1:33" ht="20.25" customHeight="1" x14ac:dyDescent="0.3">
      <c r="A61" s="106">
        <v>55</v>
      </c>
      <c r="B61" s="138"/>
      <c r="C61" s="143"/>
      <c r="D61" s="140"/>
      <c r="E61" s="165"/>
      <c r="F61" s="165"/>
      <c r="G61" s="166"/>
      <c r="H61" s="166"/>
      <c r="I61" s="99"/>
      <c r="J61" s="99"/>
      <c r="K61" s="98"/>
      <c r="L61" s="98"/>
      <c r="M61" s="165"/>
      <c r="N61" s="165"/>
      <c r="O61" s="166"/>
      <c r="P61" s="166"/>
      <c r="Q61" s="100"/>
      <c r="R61" s="100"/>
      <c r="S61" s="152"/>
      <c r="T61" s="152"/>
      <c r="U61" s="165"/>
      <c r="V61" s="165"/>
      <c r="W61" s="166"/>
      <c r="X61" s="166"/>
      <c r="Y61" s="153"/>
      <c r="Z61" s="153"/>
      <c r="AA61" s="98"/>
      <c r="AB61" s="98"/>
      <c r="AC61" s="165"/>
      <c r="AD61" s="165"/>
      <c r="AE61" s="166"/>
      <c r="AF61" s="166"/>
      <c r="AG61" s="141"/>
    </row>
    <row r="62" spans="1:33" ht="20.25" customHeight="1" x14ac:dyDescent="0.3">
      <c r="A62" s="106">
        <v>56</v>
      </c>
      <c r="B62" s="138"/>
      <c r="C62" s="143"/>
      <c r="D62" s="140"/>
      <c r="E62" s="165"/>
      <c r="F62" s="165"/>
      <c r="G62" s="166"/>
      <c r="H62" s="166"/>
      <c r="I62" s="97"/>
      <c r="J62" s="97"/>
      <c r="K62" s="98"/>
      <c r="L62" s="98"/>
      <c r="M62" s="165"/>
      <c r="N62" s="165"/>
      <c r="O62" s="166"/>
      <c r="P62" s="166"/>
      <c r="Q62" s="100"/>
      <c r="R62" s="100"/>
      <c r="S62" s="152"/>
      <c r="T62" s="152"/>
      <c r="U62" s="165"/>
      <c r="V62" s="165"/>
      <c r="W62" s="166"/>
      <c r="X62" s="166"/>
      <c r="Y62" s="153"/>
      <c r="Z62" s="153"/>
      <c r="AA62" s="98"/>
      <c r="AB62" s="98"/>
      <c r="AC62" s="165"/>
      <c r="AD62" s="165"/>
      <c r="AE62" s="166"/>
      <c r="AF62" s="166"/>
      <c r="AG62" s="141"/>
    </row>
    <row r="63" spans="1:33" ht="20.25" customHeight="1" x14ac:dyDescent="0.3">
      <c r="A63" s="106">
        <v>57</v>
      </c>
      <c r="B63" s="138"/>
      <c r="C63" s="139"/>
      <c r="D63" s="140"/>
      <c r="E63" s="165"/>
      <c r="F63" s="165"/>
      <c r="G63" s="166"/>
      <c r="H63" s="166"/>
      <c r="I63" s="97"/>
      <c r="J63" s="97"/>
      <c r="K63" s="98"/>
      <c r="L63" s="98"/>
      <c r="M63" s="165"/>
      <c r="N63" s="165"/>
      <c r="O63" s="166"/>
      <c r="P63" s="166"/>
      <c r="Q63" s="100"/>
      <c r="R63" s="100"/>
      <c r="S63" s="152"/>
      <c r="T63" s="152"/>
      <c r="U63" s="165"/>
      <c r="V63" s="165"/>
      <c r="W63" s="166"/>
      <c r="X63" s="166"/>
      <c r="Y63" s="153"/>
      <c r="Z63" s="153"/>
      <c r="AA63" s="98"/>
      <c r="AB63" s="98"/>
      <c r="AC63" s="165"/>
      <c r="AD63" s="165"/>
      <c r="AE63" s="166"/>
      <c r="AF63" s="166"/>
      <c r="AG63" s="141"/>
    </row>
    <row r="64" spans="1:33" ht="20.25" customHeight="1" x14ac:dyDescent="0.3">
      <c r="A64" s="106">
        <v>58</v>
      </c>
      <c r="B64" s="138"/>
      <c r="C64" s="143"/>
      <c r="D64" s="140"/>
      <c r="E64" s="165"/>
      <c r="F64" s="165"/>
      <c r="G64" s="166"/>
      <c r="H64" s="166"/>
      <c r="I64" s="97"/>
      <c r="J64" s="97"/>
      <c r="K64" s="98"/>
      <c r="L64" s="98"/>
      <c r="M64" s="165"/>
      <c r="N64" s="165"/>
      <c r="O64" s="166"/>
      <c r="P64" s="166"/>
      <c r="Q64" s="95"/>
      <c r="R64" s="95"/>
      <c r="S64" s="152"/>
      <c r="T64" s="152"/>
      <c r="U64" s="165"/>
      <c r="V64" s="165"/>
      <c r="W64" s="166"/>
      <c r="X64" s="166"/>
      <c r="Y64" s="152"/>
      <c r="Z64" s="153"/>
      <c r="AA64" s="98"/>
      <c r="AB64" s="98"/>
      <c r="AC64" s="165"/>
      <c r="AD64" s="165"/>
      <c r="AE64" s="166"/>
      <c r="AF64" s="166"/>
      <c r="AG64" s="141"/>
    </row>
    <row r="65" spans="1:33" ht="20.25" customHeight="1" x14ac:dyDescent="0.3">
      <c r="A65" s="106">
        <v>59</v>
      </c>
      <c r="B65" s="138"/>
      <c r="C65" s="139"/>
      <c r="D65" s="140"/>
      <c r="E65" s="165"/>
      <c r="F65" s="165"/>
      <c r="G65" s="166"/>
      <c r="H65" s="166"/>
      <c r="I65" s="97"/>
      <c r="J65" s="97"/>
      <c r="K65" s="98"/>
      <c r="L65" s="98"/>
      <c r="M65" s="165"/>
      <c r="N65" s="165"/>
      <c r="O65" s="166"/>
      <c r="P65" s="166"/>
      <c r="Q65" s="97"/>
      <c r="R65" s="97"/>
      <c r="S65" s="152"/>
      <c r="T65" s="152"/>
      <c r="U65" s="165"/>
      <c r="V65" s="165"/>
      <c r="W65" s="166"/>
      <c r="X65" s="166"/>
      <c r="Y65" s="153"/>
      <c r="Z65" s="153"/>
      <c r="AA65" s="98"/>
      <c r="AB65" s="98"/>
      <c r="AC65" s="165"/>
      <c r="AD65" s="165"/>
      <c r="AE65" s="166"/>
      <c r="AF65" s="166"/>
      <c r="AG65" s="141"/>
    </row>
    <row r="66" spans="1:33" ht="20.25" customHeight="1" x14ac:dyDescent="0.3">
      <c r="A66" s="106">
        <v>60</v>
      </c>
      <c r="B66" s="138"/>
      <c r="C66" s="143"/>
      <c r="D66" s="140"/>
      <c r="E66" s="165"/>
      <c r="F66" s="165"/>
      <c r="G66" s="166"/>
      <c r="H66" s="166"/>
      <c r="I66" s="97"/>
      <c r="J66" s="97"/>
      <c r="K66" s="98"/>
      <c r="L66" s="98"/>
      <c r="M66" s="165"/>
      <c r="N66" s="165"/>
      <c r="O66" s="166"/>
      <c r="P66" s="166"/>
      <c r="Q66" s="97"/>
      <c r="R66" s="97"/>
      <c r="S66" s="152"/>
      <c r="T66" s="152"/>
      <c r="U66" s="165"/>
      <c r="V66" s="165"/>
      <c r="W66" s="166"/>
      <c r="X66" s="166"/>
      <c r="Y66" s="153"/>
      <c r="Z66" s="153"/>
      <c r="AA66" s="98"/>
      <c r="AB66" s="98"/>
      <c r="AC66" s="165"/>
      <c r="AD66" s="165"/>
      <c r="AE66" s="166"/>
      <c r="AF66" s="166"/>
      <c r="AG66" s="141"/>
    </row>
    <row r="67" spans="1:33" ht="20.25" customHeight="1" x14ac:dyDescent="0.3">
      <c r="A67" s="106">
        <v>61</v>
      </c>
      <c r="B67" s="138"/>
      <c r="C67" s="143"/>
      <c r="D67" s="140"/>
      <c r="E67" s="165"/>
      <c r="F67" s="165"/>
      <c r="G67" s="166"/>
      <c r="H67" s="166"/>
      <c r="I67" s="99"/>
      <c r="J67" s="99"/>
      <c r="K67" s="98"/>
      <c r="L67" s="98"/>
      <c r="M67" s="165"/>
      <c r="N67" s="165"/>
      <c r="O67" s="166"/>
      <c r="P67" s="166"/>
      <c r="Q67" s="97"/>
      <c r="R67" s="97"/>
      <c r="S67" s="152"/>
      <c r="T67" s="152"/>
      <c r="U67" s="165"/>
      <c r="V67" s="165"/>
      <c r="W67" s="166"/>
      <c r="X67" s="166"/>
      <c r="Y67" s="153"/>
      <c r="Z67" s="153"/>
      <c r="AA67" s="98"/>
      <c r="AB67" s="98"/>
      <c r="AC67" s="165"/>
      <c r="AD67" s="165"/>
      <c r="AE67" s="166"/>
      <c r="AF67" s="166"/>
      <c r="AG67" s="141"/>
    </row>
    <row r="68" spans="1:33" ht="20.25" customHeight="1" x14ac:dyDescent="0.3">
      <c r="A68" s="106">
        <v>62</v>
      </c>
      <c r="B68" s="138"/>
      <c r="C68" s="143"/>
      <c r="D68" s="140"/>
      <c r="E68" s="165"/>
      <c r="F68" s="168"/>
      <c r="G68" s="166"/>
      <c r="H68" s="166"/>
      <c r="I68" s="99"/>
      <c r="J68" s="99"/>
      <c r="K68" s="98"/>
      <c r="L68" s="98"/>
      <c r="M68" s="165"/>
      <c r="N68" s="168"/>
      <c r="O68" s="166"/>
      <c r="P68" s="166"/>
      <c r="Q68" s="97"/>
      <c r="R68" s="97"/>
      <c r="S68" s="152"/>
      <c r="T68" s="152"/>
      <c r="U68" s="165"/>
      <c r="V68" s="168"/>
      <c r="W68" s="166"/>
      <c r="X68" s="166"/>
      <c r="Y68" s="153"/>
      <c r="Z68" s="153"/>
      <c r="AA68" s="98"/>
      <c r="AB68" s="98"/>
      <c r="AC68" s="165"/>
      <c r="AD68" s="168"/>
      <c r="AE68" s="166"/>
      <c r="AF68" s="166"/>
      <c r="AG68" s="141"/>
    </row>
    <row r="69" spans="1:33" ht="20.25" customHeight="1" x14ac:dyDescent="0.3">
      <c r="A69" s="106">
        <v>63</v>
      </c>
      <c r="B69" s="138"/>
      <c r="C69" s="143"/>
      <c r="D69" s="140"/>
      <c r="E69" s="165"/>
      <c r="F69" s="165"/>
      <c r="G69" s="166"/>
      <c r="H69" s="166"/>
      <c r="I69" s="97"/>
      <c r="J69" s="97"/>
      <c r="K69" s="98"/>
      <c r="L69" s="98"/>
      <c r="M69" s="165"/>
      <c r="N69" s="165"/>
      <c r="O69" s="166"/>
      <c r="P69" s="166"/>
      <c r="Q69" s="97"/>
      <c r="R69" s="97"/>
      <c r="S69" s="152"/>
      <c r="T69" s="152"/>
      <c r="U69" s="165"/>
      <c r="V69" s="165"/>
      <c r="W69" s="166"/>
      <c r="X69" s="166"/>
      <c r="Y69" s="153"/>
      <c r="Z69" s="153"/>
      <c r="AA69" s="98"/>
      <c r="AB69" s="98"/>
      <c r="AC69" s="165"/>
      <c r="AD69" s="165"/>
      <c r="AE69" s="166"/>
      <c r="AF69" s="166"/>
      <c r="AG69" s="141"/>
    </row>
    <row r="70" spans="1:33" ht="20.25" customHeight="1" x14ac:dyDescent="0.3">
      <c r="A70" s="106">
        <v>64</v>
      </c>
      <c r="B70" s="138"/>
      <c r="C70" s="143"/>
      <c r="D70" s="140"/>
      <c r="E70" s="165"/>
      <c r="F70" s="165"/>
      <c r="G70" s="166"/>
      <c r="H70" s="166"/>
      <c r="I70" s="97"/>
      <c r="J70" s="97"/>
      <c r="K70" s="98"/>
      <c r="L70" s="98"/>
      <c r="M70" s="165"/>
      <c r="N70" s="165"/>
      <c r="O70" s="166"/>
      <c r="P70" s="166"/>
      <c r="Q70" s="97"/>
      <c r="R70" s="97"/>
      <c r="S70" s="152"/>
      <c r="T70" s="152"/>
      <c r="U70" s="165"/>
      <c r="V70" s="165"/>
      <c r="W70" s="166"/>
      <c r="X70" s="166"/>
      <c r="Y70" s="153"/>
      <c r="Z70" s="153"/>
      <c r="AA70" s="98"/>
      <c r="AB70" s="98"/>
      <c r="AC70" s="165"/>
      <c r="AD70" s="165"/>
      <c r="AE70" s="166"/>
      <c r="AF70" s="166"/>
      <c r="AG70" s="141"/>
    </row>
    <row r="71" spans="1:33" ht="20.25" customHeight="1" x14ac:dyDescent="0.3">
      <c r="A71" s="106">
        <v>65</v>
      </c>
      <c r="B71" s="138"/>
      <c r="C71" s="143"/>
      <c r="D71" s="140"/>
      <c r="E71" s="165"/>
      <c r="F71" s="168"/>
      <c r="G71" s="166"/>
      <c r="H71" s="166"/>
      <c r="I71" s="99"/>
      <c r="J71" s="99"/>
      <c r="K71" s="98"/>
      <c r="L71" s="98"/>
      <c r="M71" s="165"/>
      <c r="N71" s="168"/>
      <c r="O71" s="166"/>
      <c r="P71" s="166"/>
      <c r="Q71" s="97"/>
      <c r="R71" s="97"/>
      <c r="S71" s="152"/>
      <c r="T71" s="152"/>
      <c r="U71" s="165"/>
      <c r="V71" s="168"/>
      <c r="W71" s="166"/>
      <c r="X71" s="166"/>
      <c r="Y71" s="153"/>
      <c r="Z71" s="153"/>
      <c r="AA71" s="98"/>
      <c r="AB71" s="98"/>
      <c r="AC71" s="165"/>
      <c r="AD71" s="168"/>
      <c r="AE71" s="166"/>
      <c r="AF71" s="166"/>
      <c r="AG71" s="141"/>
    </row>
    <row r="72" spans="1:33" ht="20.25" customHeight="1" x14ac:dyDescent="0.3">
      <c r="A72" s="106">
        <v>66</v>
      </c>
      <c r="B72" s="138"/>
      <c r="C72" s="143"/>
      <c r="D72" s="140"/>
      <c r="E72" s="165"/>
      <c r="F72" s="165"/>
      <c r="G72" s="166"/>
      <c r="H72" s="166"/>
      <c r="I72" s="97"/>
      <c r="J72" s="97"/>
      <c r="K72" s="98"/>
      <c r="L72" s="98"/>
      <c r="M72" s="165"/>
      <c r="N72" s="165"/>
      <c r="O72" s="166"/>
      <c r="P72" s="166"/>
      <c r="Q72" s="97"/>
      <c r="R72" s="97"/>
      <c r="S72" s="152"/>
      <c r="T72" s="152"/>
      <c r="U72" s="165"/>
      <c r="V72" s="165"/>
      <c r="W72" s="166"/>
      <c r="X72" s="166"/>
      <c r="Y72" s="153"/>
      <c r="Z72" s="153"/>
      <c r="AA72" s="98"/>
      <c r="AB72" s="98"/>
      <c r="AC72" s="165"/>
      <c r="AD72" s="165"/>
      <c r="AE72" s="166"/>
      <c r="AF72" s="166"/>
      <c r="AG72" s="141"/>
    </row>
    <row r="73" spans="1:33" ht="20.25" customHeight="1" x14ac:dyDescent="0.3">
      <c r="A73" s="106">
        <v>67</v>
      </c>
      <c r="B73" s="138"/>
      <c r="C73" s="143"/>
      <c r="D73" s="140"/>
      <c r="E73" s="165"/>
      <c r="F73" s="169"/>
      <c r="G73" s="166"/>
      <c r="H73" s="166"/>
      <c r="I73" s="97"/>
      <c r="J73" s="97"/>
      <c r="K73" s="98"/>
      <c r="L73" s="98"/>
      <c r="M73" s="165"/>
      <c r="N73" s="169"/>
      <c r="O73" s="166"/>
      <c r="P73" s="166"/>
      <c r="Q73" s="97"/>
      <c r="R73" s="97"/>
      <c r="S73" s="152"/>
      <c r="T73" s="152"/>
      <c r="U73" s="165"/>
      <c r="V73" s="169"/>
      <c r="W73" s="166"/>
      <c r="X73" s="166"/>
      <c r="Y73" s="153"/>
      <c r="Z73" s="153"/>
      <c r="AA73" s="98"/>
      <c r="AB73" s="98"/>
      <c r="AC73" s="165"/>
      <c r="AD73" s="169"/>
      <c r="AE73" s="166"/>
      <c r="AF73" s="166"/>
      <c r="AG73" s="141"/>
    </row>
    <row r="74" spans="1:33" ht="20.25" customHeight="1" x14ac:dyDescent="0.3">
      <c r="A74" s="106">
        <v>68</v>
      </c>
      <c r="B74" s="138"/>
      <c r="C74" s="143"/>
      <c r="D74" s="140"/>
      <c r="E74" s="165"/>
      <c r="F74" s="169"/>
      <c r="G74" s="166"/>
      <c r="H74" s="166"/>
      <c r="I74" s="97"/>
      <c r="J74" s="97"/>
      <c r="K74" s="98"/>
      <c r="L74" s="98"/>
      <c r="M74" s="165"/>
      <c r="N74" s="169"/>
      <c r="O74" s="166"/>
      <c r="P74" s="166"/>
      <c r="Q74" s="97"/>
      <c r="R74" s="97"/>
      <c r="S74" s="152"/>
      <c r="T74" s="152"/>
      <c r="U74" s="165"/>
      <c r="V74" s="169"/>
      <c r="W74" s="166"/>
      <c r="X74" s="166"/>
      <c r="Y74" s="153"/>
      <c r="Z74" s="153"/>
      <c r="AA74" s="98"/>
      <c r="AB74" s="98"/>
      <c r="AC74" s="165"/>
      <c r="AD74" s="169"/>
      <c r="AE74" s="166"/>
      <c r="AF74" s="166"/>
      <c r="AG74" s="141"/>
    </row>
    <row r="75" spans="1:33" ht="20.25" customHeight="1" x14ac:dyDescent="0.3">
      <c r="A75" s="106">
        <v>69</v>
      </c>
      <c r="B75" s="138"/>
      <c r="C75" s="143"/>
      <c r="D75" s="140"/>
      <c r="E75" s="165"/>
      <c r="F75" s="165"/>
      <c r="G75" s="166"/>
      <c r="H75" s="166"/>
      <c r="I75" s="97"/>
      <c r="J75" s="97"/>
      <c r="K75" s="98"/>
      <c r="L75" s="98"/>
      <c r="M75" s="165"/>
      <c r="N75" s="165"/>
      <c r="O75" s="166"/>
      <c r="P75" s="166"/>
      <c r="Q75" s="97"/>
      <c r="R75" s="97"/>
      <c r="S75" s="152"/>
      <c r="T75" s="152"/>
      <c r="U75" s="165"/>
      <c r="V75" s="165"/>
      <c r="W75" s="166"/>
      <c r="X75" s="166"/>
      <c r="Y75" s="153"/>
      <c r="Z75" s="153"/>
      <c r="AA75" s="98"/>
      <c r="AB75" s="98"/>
      <c r="AC75" s="165"/>
      <c r="AD75" s="165"/>
      <c r="AE75" s="166"/>
      <c r="AF75" s="166"/>
      <c r="AG75" s="141"/>
    </row>
    <row r="76" spans="1:33" ht="20.25" customHeight="1" x14ac:dyDescent="0.3">
      <c r="A76" s="106">
        <v>70</v>
      </c>
      <c r="B76" s="138"/>
      <c r="C76" s="143"/>
      <c r="D76" s="140"/>
      <c r="E76" s="165"/>
      <c r="F76" s="165"/>
      <c r="G76" s="166"/>
      <c r="H76" s="166"/>
      <c r="I76" s="97"/>
      <c r="J76" s="97"/>
      <c r="K76" s="98"/>
      <c r="L76" s="98"/>
      <c r="M76" s="165"/>
      <c r="N76" s="165"/>
      <c r="O76" s="166"/>
      <c r="P76" s="166"/>
      <c r="Q76" s="97"/>
      <c r="R76" s="97"/>
      <c r="S76" s="152"/>
      <c r="T76" s="152"/>
      <c r="U76" s="165"/>
      <c r="V76" s="165"/>
      <c r="W76" s="166"/>
      <c r="X76" s="166"/>
      <c r="Y76" s="153"/>
      <c r="Z76" s="153"/>
      <c r="AA76" s="98"/>
      <c r="AB76" s="98"/>
      <c r="AC76" s="165"/>
      <c r="AD76" s="165"/>
      <c r="AE76" s="166"/>
      <c r="AF76" s="166"/>
      <c r="AG76" s="141"/>
    </row>
    <row r="77" spans="1:33" ht="20.25" customHeight="1" x14ac:dyDescent="0.3">
      <c r="A77" s="106">
        <v>71</v>
      </c>
      <c r="B77" s="138"/>
      <c r="C77" s="143"/>
      <c r="D77" s="140"/>
      <c r="E77" s="165"/>
      <c r="F77" s="165"/>
      <c r="G77" s="166"/>
      <c r="H77" s="166"/>
      <c r="I77" s="97"/>
      <c r="J77" s="97"/>
      <c r="K77" s="98"/>
      <c r="L77" s="98"/>
      <c r="M77" s="165"/>
      <c r="N77" s="165"/>
      <c r="O77" s="166"/>
      <c r="P77" s="166"/>
      <c r="Q77" s="97"/>
      <c r="R77" s="97"/>
      <c r="S77" s="152"/>
      <c r="T77" s="152"/>
      <c r="U77" s="165"/>
      <c r="V77" s="165"/>
      <c r="W77" s="166"/>
      <c r="X77" s="166"/>
      <c r="Y77" s="153"/>
      <c r="Z77" s="153"/>
      <c r="AA77" s="98"/>
      <c r="AB77" s="98"/>
      <c r="AC77" s="165"/>
      <c r="AD77" s="165"/>
      <c r="AE77" s="166"/>
      <c r="AF77" s="166"/>
      <c r="AG77" s="141"/>
    </row>
    <row r="78" spans="1:33" ht="20.25" customHeight="1" x14ac:dyDescent="0.3">
      <c r="A78" s="106">
        <v>72</v>
      </c>
      <c r="B78" s="138"/>
      <c r="C78" s="143"/>
      <c r="D78" s="140"/>
      <c r="E78" s="165"/>
      <c r="F78" s="165"/>
      <c r="G78" s="166"/>
      <c r="H78" s="166"/>
      <c r="I78" s="97"/>
      <c r="J78" s="97"/>
      <c r="K78" s="98"/>
      <c r="L78" s="98"/>
      <c r="M78" s="165"/>
      <c r="N78" s="165"/>
      <c r="O78" s="166"/>
      <c r="P78" s="166"/>
      <c r="Q78" s="97"/>
      <c r="R78" s="97"/>
      <c r="S78" s="152"/>
      <c r="T78" s="152"/>
      <c r="U78" s="165"/>
      <c r="V78" s="165"/>
      <c r="W78" s="166"/>
      <c r="X78" s="166"/>
      <c r="Y78" s="153"/>
      <c r="Z78" s="153"/>
      <c r="AA78" s="98"/>
      <c r="AB78" s="98"/>
      <c r="AC78" s="165"/>
      <c r="AD78" s="165"/>
      <c r="AE78" s="166"/>
      <c r="AF78" s="166"/>
      <c r="AG78" s="141"/>
    </row>
    <row r="79" spans="1:33" ht="20.25" customHeight="1" x14ac:dyDescent="0.3">
      <c r="A79" s="106">
        <v>73</v>
      </c>
      <c r="B79" s="138"/>
      <c r="C79" s="143"/>
      <c r="D79" s="140"/>
      <c r="E79" s="165"/>
      <c r="F79" s="165"/>
      <c r="G79" s="166"/>
      <c r="H79" s="166"/>
      <c r="I79" s="97"/>
      <c r="J79" s="97"/>
      <c r="K79" s="98"/>
      <c r="L79" s="98"/>
      <c r="M79" s="165"/>
      <c r="N79" s="165"/>
      <c r="O79" s="166"/>
      <c r="P79" s="166"/>
      <c r="Q79" s="97"/>
      <c r="R79" s="97"/>
      <c r="S79" s="152"/>
      <c r="T79" s="152"/>
      <c r="U79" s="165"/>
      <c r="V79" s="165"/>
      <c r="W79" s="166"/>
      <c r="X79" s="166"/>
      <c r="Y79" s="153"/>
      <c r="Z79" s="153"/>
      <c r="AA79" s="98"/>
      <c r="AB79" s="98"/>
      <c r="AC79" s="165"/>
      <c r="AD79" s="165"/>
      <c r="AE79" s="166"/>
      <c r="AF79" s="166"/>
      <c r="AG79" s="141"/>
    </row>
    <row r="80" spans="1:33" ht="20.25" customHeight="1" x14ac:dyDescent="0.3">
      <c r="A80" s="106">
        <v>74</v>
      </c>
      <c r="B80" s="138"/>
      <c r="C80" s="143"/>
      <c r="D80" s="140"/>
      <c r="E80" s="165"/>
      <c r="F80" s="165"/>
      <c r="G80" s="166"/>
      <c r="H80" s="166"/>
      <c r="I80" s="97"/>
      <c r="J80" s="97"/>
      <c r="K80" s="98"/>
      <c r="L80" s="98"/>
      <c r="M80" s="165"/>
      <c r="N80" s="165"/>
      <c r="O80" s="166"/>
      <c r="P80" s="166"/>
      <c r="Q80" s="97"/>
      <c r="R80" s="97"/>
      <c r="S80" s="152"/>
      <c r="T80" s="152"/>
      <c r="U80" s="165"/>
      <c r="V80" s="165"/>
      <c r="W80" s="166"/>
      <c r="X80" s="166"/>
      <c r="Y80" s="153"/>
      <c r="Z80" s="153"/>
      <c r="AA80" s="98"/>
      <c r="AB80" s="98"/>
      <c r="AC80" s="165"/>
      <c r="AD80" s="165"/>
      <c r="AE80" s="166"/>
      <c r="AF80" s="166"/>
      <c r="AG80" s="141"/>
    </row>
    <row r="81" spans="1:33" ht="20.25" customHeight="1" x14ac:dyDescent="0.3">
      <c r="A81" s="106">
        <v>75</v>
      </c>
      <c r="B81" s="138"/>
      <c r="C81" s="143"/>
      <c r="D81" s="140"/>
      <c r="E81" s="165"/>
      <c r="F81" s="165"/>
      <c r="G81" s="166"/>
      <c r="H81" s="166"/>
      <c r="I81" s="97"/>
      <c r="J81" s="97"/>
      <c r="K81" s="98"/>
      <c r="L81" s="98"/>
      <c r="M81" s="165"/>
      <c r="N81" s="165"/>
      <c r="O81" s="166"/>
      <c r="P81" s="166"/>
      <c r="Q81" s="97"/>
      <c r="R81" s="97"/>
      <c r="S81" s="152"/>
      <c r="T81" s="152"/>
      <c r="U81" s="165"/>
      <c r="V81" s="165"/>
      <c r="W81" s="166"/>
      <c r="X81" s="166"/>
      <c r="Y81" s="153"/>
      <c r="Z81" s="153"/>
      <c r="AA81" s="98"/>
      <c r="AB81" s="98"/>
      <c r="AC81" s="165"/>
      <c r="AD81" s="165"/>
      <c r="AE81" s="166"/>
      <c r="AF81" s="166"/>
      <c r="AG81" s="141"/>
    </row>
    <row r="82" spans="1:33" ht="20.25" customHeight="1" x14ac:dyDescent="0.3">
      <c r="A82" s="106">
        <v>76</v>
      </c>
      <c r="B82" s="138"/>
      <c r="C82" s="143"/>
      <c r="D82" s="140"/>
      <c r="E82" s="165"/>
      <c r="F82" s="165"/>
      <c r="G82" s="166"/>
      <c r="H82" s="166"/>
      <c r="I82" s="97"/>
      <c r="J82" s="97"/>
      <c r="K82" s="98"/>
      <c r="L82" s="98"/>
      <c r="M82" s="165"/>
      <c r="N82" s="165"/>
      <c r="O82" s="166"/>
      <c r="P82" s="166"/>
      <c r="Q82" s="97"/>
      <c r="R82" s="97"/>
      <c r="S82" s="152"/>
      <c r="T82" s="152"/>
      <c r="U82" s="165"/>
      <c r="V82" s="165"/>
      <c r="W82" s="166"/>
      <c r="X82" s="166"/>
      <c r="Y82" s="153"/>
      <c r="Z82" s="153"/>
      <c r="AA82" s="98"/>
      <c r="AB82" s="98"/>
      <c r="AC82" s="165"/>
      <c r="AD82" s="165"/>
      <c r="AE82" s="166"/>
      <c r="AF82" s="166"/>
      <c r="AG82" s="141"/>
    </row>
    <row r="83" spans="1:33" ht="20.25" customHeight="1" x14ac:dyDescent="0.3">
      <c r="A83" s="106">
        <v>77</v>
      </c>
      <c r="B83" s="138"/>
      <c r="C83" s="139"/>
      <c r="D83" s="140"/>
      <c r="E83" s="165"/>
      <c r="F83" s="165"/>
      <c r="G83" s="166"/>
      <c r="H83" s="166"/>
      <c r="I83" s="97"/>
      <c r="J83" s="97"/>
      <c r="K83" s="98"/>
      <c r="L83" s="98"/>
      <c r="M83" s="165"/>
      <c r="N83" s="165"/>
      <c r="O83" s="166"/>
      <c r="P83" s="166"/>
      <c r="Q83" s="97"/>
      <c r="R83" s="97"/>
      <c r="S83" s="152"/>
      <c r="T83" s="152"/>
      <c r="U83" s="165"/>
      <c r="V83" s="165"/>
      <c r="W83" s="166"/>
      <c r="X83" s="166"/>
      <c r="Y83" s="153"/>
      <c r="Z83" s="153"/>
      <c r="AA83" s="98"/>
      <c r="AB83" s="98"/>
      <c r="AC83" s="165"/>
      <c r="AD83" s="165"/>
      <c r="AE83" s="166"/>
      <c r="AF83" s="166"/>
      <c r="AG83" s="141"/>
    </row>
    <row r="84" spans="1:33" ht="20.25" customHeight="1" x14ac:dyDescent="0.3">
      <c r="A84" s="106">
        <v>78</v>
      </c>
      <c r="B84" s="138"/>
      <c r="C84" s="143"/>
      <c r="D84" s="140"/>
      <c r="E84" s="165"/>
      <c r="F84" s="165"/>
      <c r="G84" s="166"/>
      <c r="H84" s="166"/>
      <c r="I84" s="97"/>
      <c r="J84" s="97"/>
      <c r="K84" s="98"/>
      <c r="L84" s="98"/>
      <c r="M84" s="165"/>
      <c r="N84" s="165"/>
      <c r="O84" s="166"/>
      <c r="P84" s="166"/>
      <c r="Q84" s="97"/>
      <c r="R84" s="97"/>
      <c r="S84" s="152"/>
      <c r="T84" s="152"/>
      <c r="U84" s="165"/>
      <c r="V84" s="165"/>
      <c r="W84" s="166"/>
      <c r="X84" s="166"/>
      <c r="Y84" s="153"/>
      <c r="Z84" s="153"/>
      <c r="AA84" s="98"/>
      <c r="AB84" s="98"/>
      <c r="AC84" s="165"/>
      <c r="AD84" s="165"/>
      <c r="AE84" s="166"/>
      <c r="AF84" s="166"/>
      <c r="AG84" s="141"/>
    </row>
    <row r="85" spans="1:33" ht="20.25" customHeight="1" x14ac:dyDescent="0.3">
      <c r="A85" s="106">
        <v>79</v>
      </c>
      <c r="B85" s="138"/>
      <c r="C85" s="143"/>
      <c r="D85" s="140"/>
      <c r="E85" s="165"/>
      <c r="F85" s="165"/>
      <c r="G85" s="166"/>
      <c r="H85" s="166"/>
      <c r="I85" s="97"/>
      <c r="J85" s="97"/>
      <c r="K85" s="98"/>
      <c r="L85" s="98"/>
      <c r="M85" s="165"/>
      <c r="N85" s="165"/>
      <c r="O85" s="166"/>
      <c r="P85" s="166"/>
      <c r="Q85" s="97"/>
      <c r="R85" s="97"/>
      <c r="S85" s="152"/>
      <c r="T85" s="152"/>
      <c r="U85" s="165"/>
      <c r="V85" s="165"/>
      <c r="W85" s="166"/>
      <c r="X85" s="166"/>
      <c r="Y85" s="153"/>
      <c r="Z85" s="153"/>
      <c r="AA85" s="98"/>
      <c r="AB85" s="98"/>
      <c r="AC85" s="165"/>
      <c r="AD85" s="165"/>
      <c r="AE85" s="166"/>
      <c r="AF85" s="166"/>
      <c r="AG85" s="141"/>
    </row>
    <row r="86" spans="1:33" ht="20.25" customHeight="1" x14ac:dyDescent="0.3">
      <c r="A86" s="106">
        <v>80</v>
      </c>
      <c r="B86" s="138"/>
      <c r="C86" s="139"/>
      <c r="D86" s="140"/>
      <c r="E86" s="165"/>
      <c r="F86" s="167"/>
      <c r="G86" s="166"/>
      <c r="H86" s="166"/>
      <c r="I86" s="97"/>
      <c r="J86" s="97"/>
      <c r="K86" s="98"/>
      <c r="L86" s="98"/>
      <c r="M86" s="165"/>
      <c r="N86" s="167"/>
      <c r="O86" s="166"/>
      <c r="P86" s="166"/>
      <c r="Q86" s="97"/>
      <c r="R86" s="97"/>
      <c r="S86" s="152"/>
      <c r="T86" s="152"/>
      <c r="U86" s="165"/>
      <c r="V86" s="167"/>
      <c r="W86" s="166"/>
      <c r="X86" s="166"/>
      <c r="Y86" s="153"/>
      <c r="Z86" s="153"/>
      <c r="AA86" s="98"/>
      <c r="AB86" s="98"/>
      <c r="AC86" s="165"/>
      <c r="AD86" s="167"/>
      <c r="AE86" s="166"/>
      <c r="AF86" s="166"/>
      <c r="AG86" s="141"/>
    </row>
    <row r="87" spans="1:33" ht="20.25" customHeight="1" x14ac:dyDescent="0.3">
      <c r="A87" s="106">
        <v>81</v>
      </c>
      <c r="B87" s="138"/>
      <c r="C87" s="143"/>
      <c r="D87" s="140"/>
      <c r="E87" s="165"/>
      <c r="F87" s="165"/>
      <c r="G87" s="166"/>
      <c r="H87" s="166"/>
      <c r="I87" s="97"/>
      <c r="J87" s="97"/>
      <c r="K87" s="98"/>
      <c r="L87" s="98"/>
      <c r="M87" s="165"/>
      <c r="N87" s="165"/>
      <c r="O87" s="166"/>
      <c r="P87" s="166"/>
      <c r="Q87" s="97"/>
      <c r="R87" s="97"/>
      <c r="S87" s="152"/>
      <c r="T87" s="152"/>
      <c r="U87" s="165"/>
      <c r="V87" s="165"/>
      <c r="W87" s="166"/>
      <c r="X87" s="166"/>
      <c r="Y87" s="153"/>
      <c r="Z87" s="153"/>
      <c r="AA87" s="98"/>
      <c r="AB87" s="98"/>
      <c r="AC87" s="165"/>
      <c r="AD87" s="165"/>
      <c r="AE87" s="166"/>
      <c r="AF87" s="166"/>
      <c r="AG87" s="141"/>
    </row>
    <row r="88" spans="1:33" ht="20.25" customHeight="1" x14ac:dyDescent="0.3">
      <c r="A88" s="106">
        <v>82</v>
      </c>
      <c r="B88" s="138"/>
      <c r="C88" s="143"/>
      <c r="D88" s="140"/>
      <c r="E88" s="165"/>
      <c r="F88" s="165"/>
      <c r="G88" s="166"/>
      <c r="H88" s="166"/>
      <c r="I88" s="97"/>
      <c r="J88" s="97"/>
      <c r="K88" s="98"/>
      <c r="L88" s="98"/>
      <c r="M88" s="165"/>
      <c r="N88" s="165"/>
      <c r="O88" s="166"/>
      <c r="P88" s="166"/>
      <c r="Q88" s="97"/>
      <c r="R88" s="97"/>
      <c r="S88" s="152"/>
      <c r="T88" s="152"/>
      <c r="U88" s="165"/>
      <c r="V88" s="165"/>
      <c r="W88" s="166"/>
      <c r="X88" s="166"/>
      <c r="Y88" s="153"/>
      <c r="Z88" s="153"/>
      <c r="AA88" s="98"/>
      <c r="AB88" s="98"/>
      <c r="AC88" s="165"/>
      <c r="AD88" s="165"/>
      <c r="AE88" s="166"/>
      <c r="AF88" s="166"/>
      <c r="AG88" s="141"/>
    </row>
    <row r="89" spans="1:33" ht="20.25" customHeight="1" x14ac:dyDescent="0.3">
      <c r="A89" s="106">
        <v>83</v>
      </c>
      <c r="B89" s="138"/>
      <c r="C89" s="143"/>
      <c r="D89" s="140"/>
      <c r="E89" s="165"/>
      <c r="F89" s="165"/>
      <c r="G89" s="166"/>
      <c r="H89" s="166"/>
      <c r="I89" s="97"/>
      <c r="J89" s="97"/>
      <c r="K89" s="98"/>
      <c r="L89" s="98"/>
      <c r="M89" s="165"/>
      <c r="N89" s="165"/>
      <c r="O89" s="166"/>
      <c r="P89" s="166"/>
      <c r="Q89" s="97"/>
      <c r="R89" s="97"/>
      <c r="S89" s="152"/>
      <c r="T89" s="152"/>
      <c r="U89" s="165"/>
      <c r="V89" s="165"/>
      <c r="W89" s="166"/>
      <c r="X89" s="166"/>
      <c r="Y89" s="153"/>
      <c r="Z89" s="153"/>
      <c r="AA89" s="98"/>
      <c r="AB89" s="98"/>
      <c r="AC89" s="165"/>
      <c r="AD89" s="165"/>
      <c r="AE89" s="166"/>
      <c r="AF89" s="166"/>
      <c r="AG89" s="141"/>
    </row>
    <row r="90" spans="1:33" ht="20.25" customHeight="1" x14ac:dyDescent="0.3">
      <c r="A90" s="106">
        <v>84</v>
      </c>
      <c r="B90" s="138"/>
      <c r="C90" s="143"/>
      <c r="D90" s="140"/>
      <c r="E90" s="165"/>
      <c r="F90" s="165"/>
      <c r="G90" s="166"/>
      <c r="H90" s="166"/>
      <c r="I90" s="97"/>
      <c r="J90" s="97"/>
      <c r="K90" s="98"/>
      <c r="L90" s="98"/>
      <c r="M90" s="165"/>
      <c r="N90" s="165"/>
      <c r="O90" s="166"/>
      <c r="P90" s="166"/>
      <c r="Q90" s="97"/>
      <c r="R90" s="97"/>
      <c r="S90" s="152"/>
      <c r="T90" s="152"/>
      <c r="U90" s="165"/>
      <c r="V90" s="165"/>
      <c r="W90" s="166"/>
      <c r="X90" s="166"/>
      <c r="Y90" s="153"/>
      <c r="Z90" s="153"/>
      <c r="AA90" s="98"/>
      <c r="AB90" s="98"/>
      <c r="AC90" s="165"/>
      <c r="AD90" s="165"/>
      <c r="AE90" s="166"/>
      <c r="AF90" s="166"/>
      <c r="AG90" s="141"/>
    </row>
    <row r="91" spans="1:33" ht="20.25" customHeight="1" x14ac:dyDescent="0.3">
      <c r="A91" s="106">
        <v>85</v>
      </c>
      <c r="B91" s="138"/>
      <c r="C91" s="143"/>
      <c r="D91" s="140"/>
      <c r="E91" s="165"/>
      <c r="F91" s="165"/>
      <c r="G91" s="166"/>
      <c r="H91" s="166"/>
      <c r="I91" s="97"/>
      <c r="J91" s="97"/>
      <c r="K91" s="98"/>
      <c r="L91" s="98"/>
      <c r="M91" s="165"/>
      <c r="N91" s="165"/>
      <c r="O91" s="166"/>
      <c r="P91" s="166"/>
      <c r="Q91" s="97"/>
      <c r="R91" s="97"/>
      <c r="S91" s="152"/>
      <c r="T91" s="152"/>
      <c r="U91" s="165"/>
      <c r="V91" s="165"/>
      <c r="W91" s="166"/>
      <c r="X91" s="166"/>
      <c r="Y91" s="153"/>
      <c r="Z91" s="153"/>
      <c r="AA91" s="98"/>
      <c r="AB91" s="98"/>
      <c r="AC91" s="165"/>
      <c r="AD91" s="165"/>
      <c r="AE91" s="166"/>
      <c r="AF91" s="166"/>
      <c r="AG91" s="141"/>
    </row>
    <row r="92" spans="1:33" ht="20.25" customHeight="1" x14ac:dyDescent="0.3">
      <c r="A92" s="106">
        <v>86</v>
      </c>
      <c r="B92" s="138"/>
      <c r="C92" s="143"/>
      <c r="D92" s="140"/>
      <c r="E92" s="165"/>
      <c r="F92" s="165"/>
      <c r="G92" s="166"/>
      <c r="H92" s="166"/>
      <c r="I92" s="97"/>
      <c r="J92" s="97"/>
      <c r="K92" s="98"/>
      <c r="L92" s="98"/>
      <c r="M92" s="165"/>
      <c r="N92" s="165"/>
      <c r="O92" s="166"/>
      <c r="P92" s="166"/>
      <c r="Q92" s="97"/>
      <c r="R92" s="97"/>
      <c r="S92" s="152"/>
      <c r="T92" s="152"/>
      <c r="U92" s="165"/>
      <c r="V92" s="165"/>
      <c r="W92" s="166"/>
      <c r="X92" s="166"/>
      <c r="Y92" s="153"/>
      <c r="Z92" s="153"/>
      <c r="AA92" s="98"/>
      <c r="AB92" s="98"/>
      <c r="AC92" s="165"/>
      <c r="AD92" s="165"/>
      <c r="AE92" s="166"/>
      <c r="AF92" s="166"/>
      <c r="AG92" s="141"/>
    </row>
    <row r="93" spans="1:33" ht="20.25" customHeight="1" x14ac:dyDescent="0.3">
      <c r="A93" s="106">
        <v>87</v>
      </c>
      <c r="B93" s="138"/>
      <c r="C93" s="143"/>
      <c r="D93" s="140"/>
      <c r="E93" s="165"/>
      <c r="F93" s="165"/>
      <c r="G93" s="166"/>
      <c r="H93" s="166"/>
      <c r="I93" s="97"/>
      <c r="J93" s="97"/>
      <c r="K93" s="98"/>
      <c r="L93" s="98"/>
      <c r="M93" s="165"/>
      <c r="N93" s="165"/>
      <c r="O93" s="166"/>
      <c r="P93" s="166"/>
      <c r="Q93" s="97"/>
      <c r="R93" s="97"/>
      <c r="S93" s="152"/>
      <c r="T93" s="152"/>
      <c r="U93" s="165"/>
      <c r="V93" s="165"/>
      <c r="W93" s="166"/>
      <c r="X93" s="166"/>
      <c r="Y93" s="153"/>
      <c r="Z93" s="153"/>
      <c r="AA93" s="98"/>
      <c r="AB93" s="98"/>
      <c r="AC93" s="165"/>
      <c r="AD93" s="165"/>
      <c r="AE93" s="166"/>
      <c r="AF93" s="166"/>
      <c r="AG93" s="141">
        <f t="shared" ref="AG71:AG94" si="0">(((H93-G93)+(L93-K93)+(P93-O93)+(T93-S93)+(X93-W93)+(AB93-AA93)+(AF93-AE93))-1)</f>
        <v>-1</v>
      </c>
    </row>
    <row r="94" spans="1:33" ht="20.25" customHeight="1" x14ac:dyDescent="0.3">
      <c r="A94" s="106">
        <v>88</v>
      </c>
      <c r="B94" s="138"/>
      <c r="C94" s="143"/>
      <c r="D94" s="140"/>
      <c r="E94" s="165"/>
      <c r="F94" s="165"/>
      <c r="G94" s="166"/>
      <c r="H94" s="166"/>
      <c r="I94" s="97"/>
      <c r="J94" s="97"/>
      <c r="K94" s="98"/>
      <c r="L94" s="98"/>
      <c r="M94" s="165"/>
      <c r="N94" s="165"/>
      <c r="O94" s="166"/>
      <c r="P94" s="166"/>
      <c r="Q94" s="97"/>
      <c r="R94" s="97"/>
      <c r="S94" s="152"/>
      <c r="T94" s="152"/>
      <c r="U94" s="165"/>
      <c r="V94" s="165"/>
      <c r="W94" s="166"/>
      <c r="X94" s="166"/>
      <c r="Y94" s="153"/>
      <c r="Z94" s="153"/>
      <c r="AA94" s="98"/>
      <c r="AB94" s="98"/>
      <c r="AC94" s="165"/>
      <c r="AD94" s="165"/>
      <c r="AE94" s="166"/>
      <c r="AF94" s="166"/>
      <c r="AG94" s="141">
        <f t="shared" si="0"/>
        <v>-1</v>
      </c>
    </row>
    <row r="95" spans="1:33" ht="20.25" customHeight="1" x14ac:dyDescent="0.3">
      <c r="A95" s="106">
        <v>89</v>
      </c>
      <c r="B95" s="138"/>
      <c r="C95" s="143"/>
      <c r="D95" s="140"/>
      <c r="E95" s="165"/>
      <c r="F95" s="165"/>
      <c r="G95" s="166"/>
      <c r="H95" s="166"/>
      <c r="I95" s="97"/>
      <c r="J95" s="97"/>
      <c r="K95" s="98"/>
      <c r="L95" s="98"/>
      <c r="M95" s="165"/>
      <c r="N95" s="165"/>
      <c r="O95" s="166"/>
      <c r="P95" s="166"/>
      <c r="Q95" s="97"/>
      <c r="R95" s="97"/>
      <c r="S95" s="152"/>
      <c r="T95" s="152"/>
      <c r="U95" s="165"/>
      <c r="V95" s="165"/>
      <c r="W95" s="166"/>
      <c r="X95" s="166"/>
      <c r="Y95" s="153"/>
      <c r="Z95" s="153"/>
      <c r="AA95" s="98"/>
      <c r="AB95" s="98"/>
      <c r="AC95" s="165"/>
      <c r="AD95" s="165"/>
      <c r="AE95" s="166"/>
      <c r="AF95" s="166"/>
      <c r="AG95" s="141"/>
    </row>
    <row r="96" spans="1:33" ht="20.25" customHeight="1" x14ac:dyDescent="0.3">
      <c r="A96" s="106">
        <v>90</v>
      </c>
      <c r="B96" s="138"/>
      <c r="C96" s="143"/>
      <c r="D96" s="140"/>
      <c r="E96" s="168"/>
      <c r="F96" s="168"/>
      <c r="G96" s="166"/>
      <c r="H96" s="166"/>
      <c r="I96" s="97"/>
      <c r="J96" s="97"/>
      <c r="K96" s="98"/>
      <c r="L96" s="98"/>
      <c r="M96" s="168"/>
      <c r="N96" s="168"/>
      <c r="O96" s="166"/>
      <c r="P96" s="166"/>
      <c r="Q96" s="97"/>
      <c r="R96" s="97"/>
      <c r="S96" s="152"/>
      <c r="T96" s="152"/>
      <c r="U96" s="168"/>
      <c r="V96" s="168"/>
      <c r="W96" s="166"/>
      <c r="X96" s="166"/>
      <c r="Y96" s="153"/>
      <c r="Z96" s="153"/>
      <c r="AA96" s="98"/>
      <c r="AB96" s="98"/>
      <c r="AC96" s="168"/>
      <c r="AD96" s="168"/>
      <c r="AE96" s="166"/>
      <c r="AF96" s="166"/>
      <c r="AG96" s="141"/>
    </row>
    <row r="97" spans="1:33" ht="20.25" customHeight="1" x14ac:dyDescent="0.3">
      <c r="A97" s="106">
        <v>91</v>
      </c>
      <c r="B97" s="138"/>
      <c r="C97" s="143"/>
      <c r="D97" s="140"/>
      <c r="E97" s="168"/>
      <c r="F97" s="168"/>
      <c r="G97" s="166"/>
      <c r="H97" s="166"/>
      <c r="I97" s="97"/>
      <c r="J97" s="97"/>
      <c r="K97" s="98"/>
      <c r="L97" s="98"/>
      <c r="M97" s="168"/>
      <c r="N97" s="168"/>
      <c r="O97" s="166"/>
      <c r="P97" s="166"/>
      <c r="Q97" s="97"/>
      <c r="R97" s="97"/>
      <c r="S97" s="152"/>
      <c r="T97" s="152"/>
      <c r="U97" s="168"/>
      <c r="V97" s="168"/>
      <c r="W97" s="166"/>
      <c r="X97" s="166"/>
      <c r="Y97" s="153"/>
      <c r="Z97" s="153"/>
      <c r="AA97" s="98"/>
      <c r="AB97" s="98"/>
      <c r="AC97" s="168"/>
      <c r="AD97" s="168"/>
      <c r="AE97" s="166"/>
      <c r="AF97" s="166"/>
      <c r="AG97" s="141"/>
    </row>
    <row r="98" spans="1:33" ht="20.25" customHeight="1" x14ac:dyDescent="0.3">
      <c r="A98" s="106">
        <v>92</v>
      </c>
      <c r="B98" s="138"/>
      <c r="C98" s="143"/>
      <c r="D98" s="140"/>
      <c r="E98" s="168"/>
      <c r="F98" s="168"/>
      <c r="G98" s="166"/>
      <c r="H98" s="166"/>
      <c r="I98" s="97"/>
      <c r="J98" s="97"/>
      <c r="K98" s="98"/>
      <c r="L98" s="98"/>
      <c r="M98" s="168"/>
      <c r="N98" s="168"/>
      <c r="O98" s="166"/>
      <c r="P98" s="166"/>
      <c r="Q98" s="97"/>
      <c r="R98" s="97"/>
      <c r="S98" s="152"/>
      <c r="T98" s="152"/>
      <c r="U98" s="168"/>
      <c r="V98" s="168"/>
      <c r="W98" s="166"/>
      <c r="X98" s="166"/>
      <c r="Y98" s="153"/>
      <c r="Z98" s="153"/>
      <c r="AA98" s="98"/>
      <c r="AB98" s="98"/>
      <c r="AC98" s="168"/>
      <c r="AD98" s="168"/>
      <c r="AE98" s="166"/>
      <c r="AF98" s="166"/>
      <c r="AG98" s="141"/>
    </row>
    <row r="99" spans="1:33" ht="20.25" customHeight="1" x14ac:dyDescent="0.3">
      <c r="A99" s="106">
        <v>93</v>
      </c>
      <c r="B99" s="138"/>
      <c r="C99" s="143"/>
      <c r="D99" s="140"/>
      <c r="E99" s="168"/>
      <c r="F99" s="168"/>
      <c r="G99" s="166"/>
      <c r="H99" s="166"/>
      <c r="I99" s="97"/>
      <c r="J99" s="97"/>
      <c r="K99" s="98"/>
      <c r="L99" s="98"/>
      <c r="M99" s="168"/>
      <c r="N99" s="168"/>
      <c r="O99" s="166"/>
      <c r="P99" s="166"/>
      <c r="Q99" s="97"/>
      <c r="R99" s="97"/>
      <c r="S99" s="152"/>
      <c r="T99" s="152"/>
      <c r="U99" s="168"/>
      <c r="V99" s="168"/>
      <c r="W99" s="166"/>
      <c r="X99" s="166"/>
      <c r="Y99" s="153"/>
      <c r="Z99" s="153"/>
      <c r="AA99" s="98"/>
      <c r="AB99" s="98"/>
      <c r="AC99" s="168"/>
      <c r="AD99" s="168"/>
      <c r="AE99" s="166"/>
      <c r="AF99" s="166"/>
      <c r="AG99" s="141"/>
    </row>
    <row r="100" spans="1:33" ht="20.25" customHeight="1" x14ac:dyDescent="0.3">
      <c r="A100" s="106">
        <v>94</v>
      </c>
      <c r="B100" s="138"/>
      <c r="C100" s="143"/>
      <c r="D100" s="140"/>
      <c r="E100" s="168"/>
      <c r="F100" s="168"/>
      <c r="G100" s="166"/>
      <c r="H100" s="166"/>
      <c r="I100" s="97"/>
      <c r="J100" s="97"/>
      <c r="K100" s="98"/>
      <c r="L100" s="98"/>
      <c r="M100" s="168"/>
      <c r="N100" s="168"/>
      <c r="O100" s="166"/>
      <c r="P100" s="166"/>
      <c r="Q100" s="97"/>
      <c r="R100" s="97"/>
      <c r="S100" s="152"/>
      <c r="T100" s="152"/>
      <c r="U100" s="168"/>
      <c r="V100" s="168"/>
      <c r="W100" s="166"/>
      <c r="X100" s="166"/>
      <c r="Y100" s="153"/>
      <c r="Z100" s="153"/>
      <c r="AA100" s="98"/>
      <c r="AB100" s="98"/>
      <c r="AC100" s="168"/>
      <c r="AD100" s="168"/>
      <c r="AE100" s="166"/>
      <c r="AF100" s="166"/>
      <c r="AG100" s="141"/>
    </row>
    <row r="101" spans="1:33" ht="20.25" customHeight="1" x14ac:dyDescent="0.3">
      <c r="A101" s="106">
        <v>95</v>
      </c>
      <c r="B101" s="138"/>
      <c r="C101" s="143"/>
      <c r="D101" s="140"/>
      <c r="E101" s="168"/>
      <c r="F101" s="168"/>
      <c r="G101" s="166"/>
      <c r="H101" s="166"/>
      <c r="I101" s="97"/>
      <c r="J101" s="97"/>
      <c r="K101" s="98"/>
      <c r="L101" s="98"/>
      <c r="M101" s="168"/>
      <c r="N101" s="168"/>
      <c r="O101" s="166"/>
      <c r="P101" s="166"/>
      <c r="Q101" s="97"/>
      <c r="R101" s="97"/>
      <c r="S101" s="152"/>
      <c r="T101" s="152"/>
      <c r="U101" s="168"/>
      <c r="V101" s="168"/>
      <c r="W101" s="166"/>
      <c r="X101" s="166"/>
      <c r="Y101" s="153"/>
      <c r="Z101" s="153"/>
      <c r="AA101" s="98"/>
      <c r="AB101" s="98"/>
      <c r="AC101" s="168"/>
      <c r="AD101" s="168"/>
      <c r="AE101" s="166"/>
      <c r="AF101" s="166"/>
      <c r="AG101" s="141"/>
    </row>
    <row r="102" spans="1:33" ht="20.25" customHeight="1" x14ac:dyDescent="0.3">
      <c r="A102" s="106">
        <v>96</v>
      </c>
      <c r="B102" s="138"/>
      <c r="C102" s="143"/>
      <c r="D102" s="140"/>
      <c r="E102" s="168"/>
      <c r="F102" s="168"/>
      <c r="G102" s="166"/>
      <c r="H102" s="166"/>
      <c r="I102" s="97"/>
      <c r="J102" s="97"/>
      <c r="K102" s="98"/>
      <c r="L102" s="98"/>
      <c r="M102" s="168"/>
      <c r="N102" s="168"/>
      <c r="O102" s="166"/>
      <c r="P102" s="166"/>
      <c r="Q102" s="97"/>
      <c r="R102" s="97"/>
      <c r="S102" s="152"/>
      <c r="T102" s="152"/>
      <c r="U102" s="168"/>
      <c r="V102" s="168"/>
      <c r="W102" s="166"/>
      <c r="X102" s="166"/>
      <c r="Y102" s="153"/>
      <c r="Z102" s="153"/>
      <c r="AA102" s="98"/>
      <c r="AB102" s="98"/>
      <c r="AC102" s="168"/>
      <c r="AD102" s="168"/>
      <c r="AE102" s="166"/>
      <c r="AF102" s="166"/>
      <c r="AG102" s="141"/>
    </row>
    <row r="103" spans="1:33" ht="20.25" customHeight="1" x14ac:dyDescent="0.3">
      <c r="A103" s="106">
        <v>97</v>
      </c>
      <c r="B103" s="138"/>
      <c r="C103" s="143"/>
      <c r="D103" s="140"/>
      <c r="E103" s="168"/>
      <c r="F103" s="168"/>
      <c r="G103" s="166"/>
      <c r="H103" s="166"/>
      <c r="I103" s="97"/>
      <c r="J103" s="97"/>
      <c r="K103" s="98"/>
      <c r="L103" s="98"/>
      <c r="M103" s="168"/>
      <c r="N103" s="168"/>
      <c r="O103" s="166"/>
      <c r="P103" s="166"/>
      <c r="Q103" s="97"/>
      <c r="R103" s="97"/>
      <c r="S103" s="152"/>
      <c r="T103" s="152"/>
      <c r="U103" s="168"/>
      <c r="V103" s="168"/>
      <c r="W103" s="166"/>
      <c r="X103" s="166"/>
      <c r="Y103" s="153"/>
      <c r="Z103" s="153"/>
      <c r="AA103" s="98"/>
      <c r="AB103" s="98"/>
      <c r="AC103" s="168"/>
      <c r="AD103" s="168"/>
      <c r="AE103" s="166"/>
      <c r="AF103" s="166"/>
      <c r="AG103" s="141"/>
    </row>
    <row r="104" spans="1:33" ht="20.25" customHeight="1" x14ac:dyDescent="0.3">
      <c r="A104" s="106">
        <v>98</v>
      </c>
      <c r="B104" s="138"/>
      <c r="C104" s="143"/>
      <c r="D104" s="140"/>
      <c r="E104" s="168"/>
      <c r="F104" s="168"/>
      <c r="G104" s="166"/>
      <c r="H104" s="166"/>
      <c r="I104" s="97"/>
      <c r="J104" s="97"/>
      <c r="K104" s="98"/>
      <c r="L104" s="98"/>
      <c r="M104" s="168"/>
      <c r="N104" s="168"/>
      <c r="O104" s="166"/>
      <c r="P104" s="166"/>
      <c r="Q104" s="97"/>
      <c r="R104" s="97"/>
      <c r="S104" s="152"/>
      <c r="T104" s="152"/>
      <c r="U104" s="168"/>
      <c r="V104" s="168"/>
      <c r="W104" s="166"/>
      <c r="X104" s="166"/>
      <c r="Y104" s="153"/>
      <c r="Z104" s="153"/>
      <c r="AA104" s="98"/>
      <c r="AB104" s="98"/>
      <c r="AC104" s="168"/>
      <c r="AD104" s="168"/>
      <c r="AE104" s="166"/>
      <c r="AF104" s="166"/>
      <c r="AG104" s="141"/>
    </row>
    <row r="105" spans="1:33" ht="20.25" customHeight="1" x14ac:dyDescent="0.3">
      <c r="A105" s="106">
        <v>99</v>
      </c>
      <c r="B105" s="138"/>
      <c r="C105" s="143"/>
      <c r="D105" s="140"/>
      <c r="E105" s="168"/>
      <c r="F105" s="168"/>
      <c r="G105" s="166"/>
      <c r="H105" s="166"/>
      <c r="I105" s="97"/>
      <c r="J105" s="97"/>
      <c r="K105" s="98"/>
      <c r="L105" s="98"/>
      <c r="M105" s="168"/>
      <c r="N105" s="168"/>
      <c r="O105" s="166"/>
      <c r="P105" s="166"/>
      <c r="Q105" s="97"/>
      <c r="R105" s="97"/>
      <c r="S105" s="152"/>
      <c r="T105" s="152"/>
      <c r="U105" s="168"/>
      <c r="V105" s="168"/>
      <c r="W105" s="166"/>
      <c r="X105" s="166"/>
      <c r="Y105" s="153"/>
      <c r="Z105" s="153"/>
      <c r="AA105" s="98"/>
      <c r="AB105" s="98"/>
      <c r="AC105" s="168"/>
      <c r="AD105" s="168"/>
      <c r="AE105" s="166"/>
      <c r="AF105" s="166"/>
      <c r="AG105" s="141"/>
    </row>
    <row r="106" spans="1:33" ht="20.25" customHeight="1" x14ac:dyDescent="0.3">
      <c r="A106" s="106">
        <v>100</v>
      </c>
      <c r="B106" s="138"/>
      <c r="C106" s="143"/>
      <c r="D106" s="140"/>
      <c r="E106" s="168"/>
      <c r="F106" s="168"/>
      <c r="G106" s="166"/>
      <c r="H106" s="166"/>
      <c r="I106" s="97"/>
      <c r="J106" s="97"/>
      <c r="K106" s="98"/>
      <c r="L106" s="98"/>
      <c r="M106" s="168"/>
      <c r="N106" s="168"/>
      <c r="O106" s="166"/>
      <c r="P106" s="166"/>
      <c r="Q106" s="97"/>
      <c r="R106" s="97"/>
      <c r="S106" s="152"/>
      <c r="T106" s="152"/>
      <c r="U106" s="168"/>
      <c r="V106" s="168"/>
      <c r="W106" s="166"/>
      <c r="X106" s="166"/>
      <c r="Y106" s="153"/>
      <c r="Z106" s="153"/>
      <c r="AA106" s="98"/>
      <c r="AB106" s="98"/>
      <c r="AC106" s="168"/>
      <c r="AD106" s="168"/>
      <c r="AE106" s="166"/>
      <c r="AF106" s="166"/>
      <c r="AG106" s="141"/>
    </row>
    <row r="107" spans="1:33" ht="20.25" customHeight="1" x14ac:dyDescent="0.3">
      <c r="B107" s="147" t="s">
        <v>158</v>
      </c>
      <c r="C107" s="148"/>
      <c r="D107" s="148"/>
      <c r="E107" s="165"/>
      <c r="F107" s="165"/>
      <c r="G107" s="166"/>
      <c r="H107" s="166"/>
      <c r="I107" s="97"/>
      <c r="J107" s="97"/>
      <c r="K107" s="98"/>
      <c r="L107" s="98"/>
      <c r="M107" s="165"/>
      <c r="N107" s="165"/>
      <c r="O107" s="166"/>
      <c r="P107" s="166"/>
      <c r="Q107" s="125"/>
      <c r="R107" s="125"/>
      <c r="S107" s="155"/>
      <c r="T107" s="155"/>
      <c r="U107" s="165"/>
      <c r="V107" s="165"/>
      <c r="W107" s="166"/>
      <c r="X107" s="166"/>
      <c r="Y107" s="156"/>
      <c r="Z107" s="156"/>
      <c r="AA107" s="126"/>
      <c r="AB107" s="126"/>
      <c r="AC107" s="165"/>
      <c r="AD107" s="165"/>
      <c r="AE107" s="166"/>
      <c r="AF107" s="166"/>
      <c r="AG107" s="130">
        <f t="shared" ref="AG107:AG124" si="1">(((H107-G107)+(L107-K107)+(P107-O107)+(T107-S107)+(X107-W107)+(AB107-AA107)+(AF107-AE107))-1)*D107</f>
        <v>0</v>
      </c>
    </row>
    <row r="108" spans="1:33" ht="20.25" customHeight="1" x14ac:dyDescent="0.3">
      <c r="B108" s="147" t="s">
        <v>158</v>
      </c>
      <c r="C108" s="149"/>
      <c r="D108" s="149"/>
      <c r="E108" s="165"/>
      <c r="F108" s="165"/>
      <c r="G108" s="166"/>
      <c r="H108" s="166"/>
      <c r="I108" s="97"/>
      <c r="J108" s="97"/>
      <c r="K108" s="98"/>
      <c r="L108" s="98"/>
      <c r="M108" s="165"/>
      <c r="N108" s="165"/>
      <c r="O108" s="166"/>
      <c r="P108" s="166"/>
      <c r="Q108" s="127"/>
      <c r="R108" s="127"/>
      <c r="S108" s="155"/>
      <c r="T108" s="155"/>
      <c r="U108" s="165"/>
      <c r="V108" s="165"/>
      <c r="W108" s="166"/>
      <c r="X108" s="166"/>
      <c r="Y108" s="156"/>
      <c r="Z108" s="156"/>
      <c r="AA108" s="124"/>
      <c r="AB108" s="124"/>
      <c r="AC108" s="165"/>
      <c r="AD108" s="165"/>
      <c r="AE108" s="166"/>
      <c r="AF108" s="166"/>
      <c r="AG108" s="130">
        <f t="shared" si="1"/>
        <v>0</v>
      </c>
    </row>
    <row r="109" spans="1:33" ht="20.25" customHeight="1" x14ac:dyDescent="0.3">
      <c r="B109" s="147" t="s">
        <v>158</v>
      </c>
      <c r="C109" s="149"/>
      <c r="D109" s="149"/>
      <c r="E109" s="165"/>
      <c r="F109" s="169"/>
      <c r="G109" s="166"/>
      <c r="H109" s="166"/>
      <c r="I109" s="97"/>
      <c r="J109" s="97"/>
      <c r="K109" s="98"/>
      <c r="L109" s="98"/>
      <c r="M109" s="165"/>
      <c r="N109" s="169"/>
      <c r="O109" s="166"/>
      <c r="P109" s="166"/>
      <c r="Q109" s="127"/>
      <c r="R109" s="127"/>
      <c r="S109" s="155"/>
      <c r="T109" s="155"/>
      <c r="U109" s="165"/>
      <c r="V109" s="169"/>
      <c r="W109" s="166"/>
      <c r="X109" s="166"/>
      <c r="Y109" s="156"/>
      <c r="Z109" s="156"/>
      <c r="AA109" s="124"/>
      <c r="AB109" s="124"/>
      <c r="AC109" s="165"/>
      <c r="AD109" s="169"/>
      <c r="AE109" s="166"/>
      <c r="AF109" s="166"/>
      <c r="AG109" s="130">
        <f t="shared" si="1"/>
        <v>0</v>
      </c>
    </row>
    <row r="110" spans="1:33" ht="20.25" customHeight="1" x14ac:dyDescent="0.3">
      <c r="B110" s="147" t="s">
        <v>158</v>
      </c>
      <c r="C110" s="149"/>
      <c r="D110" s="149"/>
      <c r="E110" s="165"/>
      <c r="F110" s="169"/>
      <c r="G110" s="166"/>
      <c r="H110" s="166"/>
      <c r="I110" s="97"/>
      <c r="J110" s="97"/>
      <c r="K110" s="98"/>
      <c r="L110" s="98"/>
      <c r="M110" s="165"/>
      <c r="N110" s="169"/>
      <c r="O110" s="166"/>
      <c r="P110" s="166"/>
      <c r="Q110" s="125"/>
      <c r="R110" s="125"/>
      <c r="S110" s="155"/>
      <c r="T110" s="155"/>
      <c r="U110" s="165"/>
      <c r="V110" s="169"/>
      <c r="W110" s="166"/>
      <c r="X110" s="166"/>
      <c r="Y110" s="156"/>
      <c r="Z110" s="156"/>
      <c r="AA110" s="126"/>
      <c r="AB110" s="126"/>
      <c r="AC110" s="165"/>
      <c r="AD110" s="169"/>
      <c r="AE110" s="166"/>
      <c r="AF110" s="166"/>
      <c r="AG110" s="130">
        <f t="shared" si="1"/>
        <v>0</v>
      </c>
    </row>
    <row r="111" spans="1:33" ht="20.25" customHeight="1" x14ac:dyDescent="0.3">
      <c r="B111" s="147" t="s">
        <v>158</v>
      </c>
      <c r="C111" s="149"/>
      <c r="D111" s="149"/>
      <c r="E111" s="165"/>
      <c r="F111" s="165"/>
      <c r="G111" s="166"/>
      <c r="H111" s="166"/>
      <c r="I111" s="97"/>
      <c r="J111" s="97"/>
      <c r="K111" s="98"/>
      <c r="L111" s="98"/>
      <c r="M111" s="165"/>
      <c r="N111" s="165"/>
      <c r="O111" s="166"/>
      <c r="P111" s="166"/>
      <c r="Q111" s="127"/>
      <c r="R111" s="127"/>
      <c r="S111" s="155"/>
      <c r="T111" s="155"/>
      <c r="U111" s="165"/>
      <c r="V111" s="165"/>
      <c r="W111" s="166"/>
      <c r="X111" s="166"/>
      <c r="Y111" s="156"/>
      <c r="Z111" s="156"/>
      <c r="AA111" s="126"/>
      <c r="AB111" s="126"/>
      <c r="AC111" s="165"/>
      <c r="AD111" s="165"/>
      <c r="AE111" s="166"/>
      <c r="AF111" s="166"/>
      <c r="AG111" s="130">
        <f t="shared" si="1"/>
        <v>0</v>
      </c>
    </row>
    <row r="112" spans="1:33" ht="20.25" customHeight="1" x14ac:dyDescent="0.3">
      <c r="B112" s="147" t="s">
        <v>158</v>
      </c>
      <c r="C112" s="149"/>
      <c r="D112" s="149"/>
      <c r="E112" s="165"/>
      <c r="F112" s="165"/>
      <c r="G112" s="166"/>
      <c r="H112" s="166"/>
      <c r="I112" s="97"/>
      <c r="J112" s="97"/>
      <c r="K112" s="98"/>
      <c r="L112" s="98"/>
      <c r="M112" s="165"/>
      <c r="N112" s="165"/>
      <c r="O112" s="166"/>
      <c r="P112" s="166"/>
      <c r="Q112" s="127"/>
      <c r="R112" s="127"/>
      <c r="S112" s="155"/>
      <c r="T112" s="155"/>
      <c r="U112" s="165"/>
      <c r="V112" s="165"/>
      <c r="W112" s="166"/>
      <c r="X112" s="166"/>
      <c r="Y112" s="156"/>
      <c r="Z112" s="156"/>
      <c r="AA112" s="126"/>
      <c r="AB112" s="126"/>
      <c r="AC112" s="165"/>
      <c r="AD112" s="165"/>
      <c r="AE112" s="166"/>
      <c r="AF112" s="166"/>
      <c r="AG112" s="130">
        <f t="shared" si="1"/>
        <v>0</v>
      </c>
    </row>
    <row r="113" spans="2:42" ht="20.25" customHeight="1" x14ac:dyDescent="0.3">
      <c r="B113" s="147" t="s">
        <v>158</v>
      </c>
      <c r="C113" s="149"/>
      <c r="D113" s="149"/>
      <c r="E113" s="168"/>
      <c r="F113" s="165"/>
      <c r="G113" s="166"/>
      <c r="H113" s="166"/>
      <c r="I113" s="97"/>
      <c r="J113" s="97"/>
      <c r="K113" s="98"/>
      <c r="L113" s="98"/>
      <c r="M113" s="168"/>
      <c r="N113" s="165"/>
      <c r="O113" s="166"/>
      <c r="P113" s="166"/>
      <c r="Q113" s="125"/>
      <c r="R113" s="125"/>
      <c r="S113" s="155"/>
      <c r="T113" s="155"/>
      <c r="U113" s="168"/>
      <c r="V113" s="165"/>
      <c r="W113" s="166"/>
      <c r="X113" s="166"/>
      <c r="Y113" s="156"/>
      <c r="Z113" s="156"/>
      <c r="AA113" s="126"/>
      <c r="AB113" s="126"/>
      <c r="AC113" s="168"/>
      <c r="AD113" s="165"/>
      <c r="AE113" s="166"/>
      <c r="AF113" s="166"/>
      <c r="AG113" s="130">
        <f t="shared" si="1"/>
        <v>0</v>
      </c>
    </row>
    <row r="114" spans="2:42" ht="20.25" customHeight="1" x14ac:dyDescent="0.3">
      <c r="B114" s="147" t="s">
        <v>158</v>
      </c>
      <c r="C114" s="149"/>
      <c r="D114" s="149"/>
      <c r="E114" s="165"/>
      <c r="F114" s="165"/>
      <c r="G114" s="166"/>
      <c r="H114" s="166"/>
      <c r="I114" s="97"/>
      <c r="J114" s="97"/>
      <c r="K114" s="98"/>
      <c r="L114" s="98"/>
      <c r="M114" s="165"/>
      <c r="N114" s="165"/>
      <c r="O114" s="166"/>
      <c r="P114" s="166"/>
      <c r="Q114" s="125"/>
      <c r="R114" s="125"/>
      <c r="S114" s="155"/>
      <c r="T114" s="155"/>
      <c r="U114" s="165"/>
      <c r="V114" s="165"/>
      <c r="W114" s="166"/>
      <c r="X114" s="166"/>
      <c r="Y114" s="156"/>
      <c r="Z114" s="156"/>
      <c r="AA114" s="126"/>
      <c r="AB114" s="126"/>
      <c r="AC114" s="165"/>
      <c r="AD114" s="165"/>
      <c r="AE114" s="166"/>
      <c r="AF114" s="166"/>
      <c r="AG114" s="130">
        <f t="shared" si="1"/>
        <v>0</v>
      </c>
    </row>
    <row r="115" spans="2:42" ht="20.25" customHeight="1" x14ac:dyDescent="0.3">
      <c r="B115" s="147" t="s">
        <v>158</v>
      </c>
      <c r="C115" s="149"/>
      <c r="D115" s="149"/>
      <c r="E115" s="165"/>
      <c r="F115" s="165"/>
      <c r="G115" s="166"/>
      <c r="H115" s="166"/>
      <c r="I115" s="97"/>
      <c r="J115" s="97"/>
      <c r="K115" s="98"/>
      <c r="L115" s="98"/>
      <c r="M115" s="165"/>
      <c r="N115" s="165"/>
      <c r="O115" s="166"/>
      <c r="P115" s="166"/>
      <c r="Q115" s="127"/>
      <c r="R115" s="127"/>
      <c r="S115" s="155"/>
      <c r="T115" s="155"/>
      <c r="U115" s="165"/>
      <c r="V115" s="165"/>
      <c r="W115" s="166"/>
      <c r="X115" s="166"/>
      <c r="Y115" s="156"/>
      <c r="Z115" s="156"/>
      <c r="AA115" s="126"/>
      <c r="AB115" s="126"/>
      <c r="AC115" s="165"/>
      <c r="AD115" s="165"/>
      <c r="AE115" s="166"/>
      <c r="AF115" s="166"/>
      <c r="AG115" s="130">
        <f t="shared" si="1"/>
        <v>0</v>
      </c>
    </row>
    <row r="116" spans="2:42" ht="20.25" customHeight="1" x14ac:dyDescent="0.3">
      <c r="B116" s="147" t="s">
        <v>158</v>
      </c>
      <c r="C116" s="149"/>
      <c r="D116" s="149"/>
      <c r="E116" s="165"/>
      <c r="F116" s="165"/>
      <c r="G116" s="166"/>
      <c r="H116" s="166"/>
      <c r="I116" s="97"/>
      <c r="J116" s="97"/>
      <c r="K116" s="98"/>
      <c r="L116" s="98"/>
      <c r="M116" s="165"/>
      <c r="N116" s="165"/>
      <c r="O116" s="166"/>
      <c r="P116" s="166"/>
      <c r="Q116" s="127"/>
      <c r="R116" s="127"/>
      <c r="S116" s="155"/>
      <c r="T116" s="155"/>
      <c r="U116" s="165"/>
      <c r="V116" s="165"/>
      <c r="W116" s="166"/>
      <c r="X116" s="166"/>
      <c r="Y116" s="156"/>
      <c r="Z116" s="156"/>
      <c r="AA116" s="126"/>
      <c r="AB116" s="126"/>
      <c r="AC116" s="165"/>
      <c r="AD116" s="165"/>
      <c r="AE116" s="166"/>
      <c r="AF116" s="166"/>
      <c r="AG116" s="130">
        <f t="shared" si="1"/>
        <v>0</v>
      </c>
    </row>
    <row r="117" spans="2:42" ht="20.25" customHeight="1" x14ac:dyDescent="0.3">
      <c r="B117" s="147" t="s">
        <v>158</v>
      </c>
      <c r="C117" s="149"/>
      <c r="D117" s="149"/>
      <c r="E117" s="165"/>
      <c r="F117" s="165"/>
      <c r="G117" s="166"/>
      <c r="H117" s="166"/>
      <c r="I117" s="97"/>
      <c r="J117" s="97"/>
      <c r="K117" s="98"/>
      <c r="L117" s="98"/>
      <c r="M117" s="165"/>
      <c r="N117" s="165"/>
      <c r="O117" s="166"/>
      <c r="P117" s="166"/>
      <c r="Q117" s="127"/>
      <c r="R117" s="127"/>
      <c r="S117" s="155"/>
      <c r="T117" s="155"/>
      <c r="U117" s="165"/>
      <c r="V117" s="165"/>
      <c r="W117" s="166"/>
      <c r="X117" s="166"/>
      <c r="Y117" s="156"/>
      <c r="Z117" s="156"/>
      <c r="AA117" s="126"/>
      <c r="AB117" s="126"/>
      <c r="AC117" s="165"/>
      <c r="AD117" s="165"/>
      <c r="AE117" s="166"/>
      <c r="AF117" s="166"/>
      <c r="AG117" s="130">
        <f t="shared" si="1"/>
        <v>0</v>
      </c>
    </row>
    <row r="118" spans="2:42" ht="20.25" customHeight="1" x14ac:dyDescent="0.3">
      <c r="B118" s="147" t="s">
        <v>159</v>
      </c>
      <c r="C118" s="149"/>
      <c r="D118" s="149"/>
      <c r="E118" s="165"/>
      <c r="F118" s="165"/>
      <c r="G118" s="166"/>
      <c r="H118" s="166"/>
      <c r="I118" s="97"/>
      <c r="J118" s="97"/>
      <c r="K118" s="98"/>
      <c r="L118" s="98"/>
      <c r="M118" s="165"/>
      <c r="N118" s="165"/>
      <c r="O118" s="166"/>
      <c r="P118" s="166"/>
      <c r="Q118" s="127"/>
      <c r="R118" s="127"/>
      <c r="S118" s="155"/>
      <c r="T118" s="155"/>
      <c r="U118" s="165"/>
      <c r="V118" s="165"/>
      <c r="W118" s="166"/>
      <c r="X118" s="166"/>
      <c r="Y118" s="156"/>
      <c r="Z118" s="156"/>
      <c r="AA118" s="126"/>
      <c r="AB118" s="126"/>
      <c r="AC118" s="165"/>
      <c r="AD118" s="165"/>
      <c r="AE118" s="166"/>
      <c r="AF118" s="166"/>
      <c r="AG118" s="130">
        <f t="shared" si="1"/>
        <v>0</v>
      </c>
    </row>
    <row r="119" spans="2:42" ht="20.25" customHeight="1" x14ac:dyDescent="0.3">
      <c r="B119" s="147" t="s">
        <v>158</v>
      </c>
      <c r="C119" s="149"/>
      <c r="D119" s="149"/>
      <c r="E119" s="165"/>
      <c r="F119" s="165"/>
      <c r="G119" s="166"/>
      <c r="H119" s="166"/>
      <c r="I119" s="97"/>
      <c r="J119" s="97"/>
      <c r="K119" s="98"/>
      <c r="L119" s="98"/>
      <c r="M119" s="165"/>
      <c r="N119" s="165"/>
      <c r="O119" s="166"/>
      <c r="P119" s="166"/>
      <c r="Q119" s="127"/>
      <c r="R119" s="127"/>
      <c r="S119" s="155"/>
      <c r="T119" s="155"/>
      <c r="U119" s="165"/>
      <c r="V119" s="165"/>
      <c r="W119" s="166"/>
      <c r="X119" s="166"/>
      <c r="Y119" s="156"/>
      <c r="Z119" s="156"/>
      <c r="AA119" s="126"/>
      <c r="AB119" s="126"/>
      <c r="AC119" s="165"/>
      <c r="AD119" s="165"/>
      <c r="AE119" s="166"/>
      <c r="AF119" s="166"/>
      <c r="AG119" s="130">
        <f t="shared" si="1"/>
        <v>0</v>
      </c>
    </row>
    <row r="120" spans="2:42" ht="20.25" customHeight="1" x14ac:dyDescent="0.3">
      <c r="B120" s="147" t="s">
        <v>160</v>
      </c>
      <c r="C120" s="149"/>
      <c r="D120" s="149"/>
      <c r="E120" s="165"/>
      <c r="F120" s="165"/>
      <c r="G120" s="166"/>
      <c r="H120" s="166"/>
      <c r="I120" s="97"/>
      <c r="J120" s="97"/>
      <c r="K120" s="98"/>
      <c r="L120" s="98"/>
      <c r="M120" s="165"/>
      <c r="N120" s="165"/>
      <c r="O120" s="166"/>
      <c r="P120" s="166"/>
      <c r="Q120" s="127"/>
      <c r="R120" s="127"/>
      <c r="S120" s="155"/>
      <c r="T120" s="155"/>
      <c r="U120" s="165"/>
      <c r="V120" s="165"/>
      <c r="W120" s="166"/>
      <c r="X120" s="166"/>
      <c r="Y120" s="156"/>
      <c r="Z120" s="156"/>
      <c r="AA120" s="126"/>
      <c r="AB120" s="126"/>
      <c r="AC120" s="165"/>
      <c r="AD120" s="165"/>
      <c r="AE120" s="166"/>
      <c r="AF120" s="166"/>
      <c r="AG120" s="130">
        <f t="shared" si="1"/>
        <v>0</v>
      </c>
    </row>
    <row r="121" spans="2:42" ht="20.25" customHeight="1" x14ac:dyDescent="0.3">
      <c r="B121" s="147" t="s">
        <v>158</v>
      </c>
      <c r="C121" s="149"/>
      <c r="D121" s="149"/>
      <c r="E121" s="165"/>
      <c r="F121" s="165"/>
      <c r="G121" s="166"/>
      <c r="H121" s="166"/>
      <c r="I121" s="97"/>
      <c r="J121" s="97"/>
      <c r="K121" s="98"/>
      <c r="L121" s="98"/>
      <c r="M121" s="165"/>
      <c r="N121" s="165"/>
      <c r="O121" s="166"/>
      <c r="P121" s="166"/>
      <c r="Q121" s="127"/>
      <c r="R121" s="127"/>
      <c r="S121" s="155"/>
      <c r="T121" s="155"/>
      <c r="U121" s="165"/>
      <c r="V121" s="165"/>
      <c r="W121" s="166"/>
      <c r="X121" s="166"/>
      <c r="Y121" s="156"/>
      <c r="Z121" s="156"/>
      <c r="AA121" s="126"/>
      <c r="AB121" s="126"/>
      <c r="AC121" s="165"/>
      <c r="AD121" s="165"/>
      <c r="AE121" s="166"/>
      <c r="AF121" s="166"/>
      <c r="AG121" s="130">
        <f t="shared" si="1"/>
        <v>0</v>
      </c>
    </row>
    <row r="122" spans="2:42" ht="20.25" customHeight="1" x14ac:dyDescent="0.3">
      <c r="B122" s="147" t="s">
        <v>158</v>
      </c>
      <c r="C122" s="149"/>
      <c r="D122" s="149"/>
      <c r="E122" s="165"/>
      <c r="F122" s="165"/>
      <c r="G122" s="166"/>
      <c r="H122" s="166"/>
      <c r="I122" s="97"/>
      <c r="J122" s="97"/>
      <c r="K122" s="98"/>
      <c r="L122" s="98"/>
      <c r="M122" s="165"/>
      <c r="N122" s="165"/>
      <c r="O122" s="166"/>
      <c r="P122" s="166"/>
      <c r="Q122" s="127"/>
      <c r="R122" s="127"/>
      <c r="S122" s="155"/>
      <c r="T122" s="155"/>
      <c r="U122" s="165"/>
      <c r="V122" s="165"/>
      <c r="W122" s="166"/>
      <c r="X122" s="166"/>
      <c r="Y122" s="156"/>
      <c r="Z122" s="156"/>
      <c r="AA122" s="124"/>
      <c r="AB122" s="124"/>
      <c r="AC122" s="165"/>
      <c r="AD122" s="165"/>
      <c r="AE122" s="166"/>
      <c r="AF122" s="166"/>
      <c r="AG122" s="130">
        <f t="shared" si="1"/>
        <v>0</v>
      </c>
    </row>
    <row r="123" spans="2:42" ht="20.25" customHeight="1" x14ac:dyDescent="0.3">
      <c r="B123" s="147" t="s">
        <v>158</v>
      </c>
      <c r="C123" s="149"/>
      <c r="D123" s="149"/>
      <c r="E123" s="165"/>
      <c r="F123" s="165"/>
      <c r="G123" s="166"/>
      <c r="H123" s="166"/>
      <c r="I123" s="97"/>
      <c r="J123" s="97"/>
      <c r="K123" s="98"/>
      <c r="L123" s="98"/>
      <c r="M123" s="165"/>
      <c r="N123" s="165"/>
      <c r="O123" s="166"/>
      <c r="P123" s="166"/>
      <c r="Q123" s="127"/>
      <c r="R123" s="127"/>
      <c r="S123" s="155"/>
      <c r="T123" s="155"/>
      <c r="U123" s="165"/>
      <c r="V123" s="165"/>
      <c r="W123" s="166"/>
      <c r="X123" s="166"/>
      <c r="Y123" s="156"/>
      <c r="Z123" s="156"/>
      <c r="AA123" s="124"/>
      <c r="AB123" s="124"/>
      <c r="AC123" s="165"/>
      <c r="AD123" s="165"/>
      <c r="AE123" s="166"/>
      <c r="AF123" s="166"/>
      <c r="AG123" s="130">
        <f t="shared" si="1"/>
        <v>0</v>
      </c>
    </row>
    <row r="124" spans="2:42" ht="20.25" customHeight="1" x14ac:dyDescent="0.3">
      <c r="B124" s="147" t="s">
        <v>158</v>
      </c>
      <c r="C124" s="149"/>
      <c r="D124" s="149"/>
      <c r="E124" s="165"/>
      <c r="F124" s="165"/>
      <c r="G124" s="166"/>
      <c r="H124" s="166"/>
      <c r="I124" s="97"/>
      <c r="J124" s="97"/>
      <c r="K124" s="98"/>
      <c r="L124" s="98"/>
      <c r="M124" s="165"/>
      <c r="N124" s="165"/>
      <c r="O124" s="166"/>
      <c r="P124" s="166"/>
      <c r="Q124" s="127"/>
      <c r="R124" s="127"/>
      <c r="S124" s="155"/>
      <c r="T124" s="155"/>
      <c r="U124" s="165"/>
      <c r="V124" s="165"/>
      <c r="W124" s="166"/>
      <c r="X124" s="166"/>
      <c r="Y124" s="156"/>
      <c r="Z124" s="156"/>
      <c r="AA124" s="124"/>
      <c r="AB124" s="124"/>
      <c r="AC124" s="165"/>
      <c r="AD124" s="165"/>
      <c r="AE124" s="166"/>
      <c r="AF124" s="166"/>
      <c r="AG124" s="130">
        <f t="shared" si="1"/>
        <v>0</v>
      </c>
    </row>
    <row r="125" spans="2:42" ht="20.25" customHeight="1" x14ac:dyDescent="0.3">
      <c r="B125" s="147" t="s">
        <v>158</v>
      </c>
      <c r="C125" s="149"/>
      <c r="D125" s="149"/>
      <c r="E125" s="165"/>
      <c r="F125" s="165"/>
      <c r="G125" s="166"/>
      <c r="H125" s="166"/>
      <c r="I125" s="99"/>
      <c r="J125" s="99"/>
      <c r="K125" s="98"/>
      <c r="L125" s="98"/>
      <c r="M125" s="165"/>
      <c r="N125" s="165"/>
      <c r="O125" s="166"/>
      <c r="P125" s="166"/>
      <c r="Q125" s="127"/>
      <c r="R125" s="127"/>
      <c r="S125" s="155"/>
      <c r="T125" s="155"/>
      <c r="U125" s="165"/>
      <c r="V125" s="165"/>
      <c r="W125" s="166"/>
      <c r="X125" s="166"/>
      <c r="Y125" s="156"/>
      <c r="Z125" s="156"/>
      <c r="AA125" s="124"/>
      <c r="AB125" s="124"/>
      <c r="AC125" s="165"/>
      <c r="AD125" s="165"/>
      <c r="AE125" s="166"/>
      <c r="AF125" s="166"/>
      <c r="AG125" s="130">
        <f>(((H125-G125)+(L125-K125)+(P125-O125)+(T125-S125)+(X125-W125)+(AB125-AA125)+(AF125-AE125))-1)*D125</f>
        <v>0</v>
      </c>
    </row>
    <row r="126" spans="2:42" ht="20.25" customHeight="1" x14ac:dyDescent="0.3">
      <c r="B126" s="147" t="s">
        <v>161</v>
      </c>
      <c r="C126" s="149"/>
      <c r="D126" s="150"/>
      <c r="E126" s="168"/>
      <c r="F126" s="168"/>
      <c r="G126" s="166"/>
      <c r="H126" s="166"/>
      <c r="I126" s="99"/>
      <c r="J126" s="99"/>
      <c r="K126" s="99"/>
      <c r="L126" s="98"/>
      <c r="M126" s="168"/>
      <c r="N126" s="168"/>
      <c r="O126" s="166"/>
      <c r="P126" s="166"/>
      <c r="Q126" s="127"/>
      <c r="R126" s="127"/>
      <c r="S126" s="155"/>
      <c r="T126" s="155"/>
      <c r="U126" s="168"/>
      <c r="V126" s="168"/>
      <c r="W126" s="166"/>
      <c r="X126" s="166"/>
      <c r="Y126" s="156"/>
      <c r="Z126" s="156"/>
      <c r="AA126" s="124"/>
      <c r="AB126" s="124"/>
      <c r="AC126" s="168"/>
      <c r="AD126" s="168"/>
      <c r="AE126" s="166"/>
      <c r="AF126" s="166"/>
      <c r="AG126" s="130">
        <f>(((H126-G126)+(L126-K126)+(P126-O126)+(T126-S126)+(X126-W126)+(AB126-AA126)+(AF126-AE126))-1)*D126</f>
        <v>0</v>
      </c>
    </row>
    <row r="127" spans="2:42" ht="18.75" customHeight="1" x14ac:dyDescent="0.3">
      <c r="B127" s="131" t="s">
        <v>116</v>
      </c>
      <c r="C127" s="132">
        <f>COUNTIF(C7:C106,"A")</f>
        <v>0</v>
      </c>
      <c r="D127" s="122"/>
      <c r="F127" s="170"/>
      <c r="N127" s="170"/>
      <c r="S127" s="157"/>
      <c r="T127" s="157"/>
      <c r="V127" s="170"/>
      <c r="Y127" s="157"/>
      <c r="Z127" s="157"/>
      <c r="AA127" s="128"/>
      <c r="AB127" s="128"/>
      <c r="AD127" s="170"/>
      <c r="AE127" s="164" t="s">
        <v>129</v>
      </c>
      <c r="AG127" s="129">
        <f>SUM(AG7:AG126)</f>
        <v>-2</v>
      </c>
    </row>
    <row r="128" spans="2:42" ht="20.25" customHeight="1" x14ac:dyDescent="0.3">
      <c r="B128" s="123" t="s">
        <v>169</v>
      </c>
      <c r="C128" s="128">
        <f>COUNTIF(C7:C106,"F")</f>
        <v>0</v>
      </c>
      <c r="D128" s="122"/>
      <c r="F128" s="170"/>
      <c r="N128" s="170"/>
      <c r="S128" s="157"/>
      <c r="T128" s="157"/>
      <c r="V128" s="170"/>
      <c r="Y128" s="157"/>
      <c r="Z128" s="157"/>
      <c r="AA128" s="128"/>
      <c r="AB128" s="128"/>
      <c r="AD128" s="170"/>
      <c r="AE128" s="164" t="s">
        <v>117</v>
      </c>
      <c r="AG128" s="128">
        <f>+C127+C130</f>
        <v>0</v>
      </c>
      <c r="AP128" s="128" t="s">
        <v>133</v>
      </c>
    </row>
    <row r="129" spans="1:31" ht="20.25" customHeight="1" x14ac:dyDescent="0.5">
      <c r="B129" s="123" t="s">
        <v>170</v>
      </c>
      <c r="C129" s="128">
        <f>COUNTIF(C7:C106,"V")</f>
        <v>0</v>
      </c>
      <c r="D129" s="122"/>
      <c r="E129" s="171"/>
      <c r="M129" s="171"/>
      <c r="S129" s="157"/>
      <c r="T129" s="157"/>
      <c r="U129" s="171"/>
      <c r="Y129" s="157"/>
      <c r="Z129" s="157"/>
      <c r="AA129" s="128"/>
      <c r="AB129" s="128"/>
      <c r="AC129" s="171"/>
    </row>
    <row r="130" spans="1:31" ht="15.6" x14ac:dyDescent="0.3">
      <c r="B130" s="123" t="s">
        <v>164</v>
      </c>
      <c r="C130" s="128">
        <f>COUNTIF(C7:C106,"LM")</f>
        <v>0</v>
      </c>
      <c r="D130" s="133">
        <f>SUM(C127:C134)</f>
        <v>0</v>
      </c>
      <c r="G130" s="163"/>
      <c r="O130" s="163"/>
      <c r="W130" s="163"/>
      <c r="AE130" s="163"/>
    </row>
    <row r="131" spans="1:31" ht="15.6" x14ac:dyDescent="0.3">
      <c r="B131" s="123" t="s">
        <v>165</v>
      </c>
      <c r="C131" s="128">
        <f>COUNTIF(C7:C106,"LSG")</f>
        <v>0</v>
      </c>
      <c r="G131" s="163"/>
      <c r="O131" s="163"/>
      <c r="W131" s="163"/>
      <c r="AE131" s="163"/>
    </row>
    <row r="132" spans="1:31" ht="15.6" x14ac:dyDescent="0.3">
      <c r="B132" s="123" t="s">
        <v>166</v>
      </c>
      <c r="C132" s="128">
        <f>COUNTIF(C7:C106,"LCG")</f>
        <v>0</v>
      </c>
      <c r="G132" s="163"/>
      <c r="O132" s="163"/>
      <c r="W132" s="163"/>
      <c r="AE132" s="163"/>
    </row>
    <row r="133" spans="1:31" ht="15.6" x14ac:dyDescent="0.3">
      <c r="B133" s="123" t="s">
        <v>167</v>
      </c>
      <c r="C133" s="128">
        <f>COUNTIF(C7:C106,"DM")</f>
        <v>0</v>
      </c>
      <c r="G133" s="163"/>
      <c r="O133" s="163"/>
      <c r="W133" s="163"/>
      <c r="AE133" s="163"/>
    </row>
    <row r="134" spans="1:31" ht="15.6" x14ac:dyDescent="0.3">
      <c r="B134" s="123" t="s">
        <v>168</v>
      </c>
      <c r="C134" s="128">
        <f>COUNTIF(C7:C106,"AM")</f>
        <v>0</v>
      </c>
      <c r="G134" s="163"/>
      <c r="O134" s="163"/>
      <c r="W134" s="163"/>
      <c r="AE134" s="163"/>
    </row>
    <row r="135" spans="1:31" ht="15.6" x14ac:dyDescent="0.3">
      <c r="B135" s="134" t="s">
        <v>162</v>
      </c>
      <c r="C135" s="128">
        <f>SUM(D107:D126)</f>
        <v>0</v>
      </c>
      <c r="G135" s="163"/>
      <c r="O135" s="163"/>
      <c r="W135" s="163"/>
      <c r="AE135" s="163"/>
    </row>
    <row r="136" spans="1:31" x14ac:dyDescent="0.3">
      <c r="G136" s="163"/>
      <c r="O136" s="163"/>
      <c r="W136" s="163"/>
      <c r="AE136" s="163"/>
    </row>
    <row r="137" spans="1:31" x14ac:dyDescent="0.3">
      <c r="G137" s="163"/>
      <c r="O137" s="163"/>
      <c r="W137" s="163"/>
      <c r="AE137" s="163"/>
    </row>
    <row r="138" spans="1:31" x14ac:dyDescent="0.3">
      <c r="G138" s="163"/>
      <c r="O138" s="163"/>
      <c r="W138" s="163"/>
      <c r="AE138" s="163"/>
    </row>
    <row r="139" spans="1:31" x14ac:dyDescent="0.3">
      <c r="A139" s="137"/>
      <c r="G139" s="163"/>
      <c r="O139" s="163"/>
      <c r="W139" s="163"/>
      <c r="AE139" s="163"/>
    </row>
    <row r="140" spans="1:31" x14ac:dyDescent="0.3">
      <c r="A140" s="137"/>
    </row>
    <row r="141" spans="1:31" x14ac:dyDescent="0.3">
      <c r="A141" s="137"/>
    </row>
    <row r="142" spans="1:31" x14ac:dyDescent="0.3">
      <c r="A142" s="137"/>
    </row>
    <row r="143" spans="1:31" x14ac:dyDescent="0.3">
      <c r="A143" s="137"/>
    </row>
    <row r="144" spans="1:31" x14ac:dyDescent="0.3">
      <c r="A144" s="137"/>
    </row>
    <row r="145" spans="1:1" x14ac:dyDescent="0.3">
      <c r="A145" s="137"/>
    </row>
    <row r="146" spans="1:1" x14ac:dyDescent="0.3">
      <c r="A146" s="137"/>
    </row>
    <row r="147" spans="1:1" x14ac:dyDescent="0.3">
      <c r="A147" s="137"/>
    </row>
  </sheetData>
  <autoFilter ref="A6:AG144" xr:uid="{00000000-0009-0000-0000-000000000000}"/>
  <mergeCells count="3">
    <mergeCell ref="A2:AE2"/>
    <mergeCell ref="A3:AE3"/>
    <mergeCell ref="A4:AE4"/>
  </mergeCells>
  <phoneticPr fontId="20" type="noConversion"/>
  <pageMargins left="0" right="0" top="0" bottom="0" header="0.31496062992125984" footer="0.31496062992125984"/>
  <pageSetup paperSize="9" scale="39" orientation="landscape" horizontalDpi="4294967293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pageSetUpPr fitToPage="1"/>
  </sheetPr>
  <dimension ref="B1:AC56"/>
  <sheetViews>
    <sheetView zoomScale="80" zoomScaleNormal="80" workbookViewId="0">
      <selection activeCell="C9" sqref="C9:C10"/>
    </sheetView>
  </sheetViews>
  <sheetFormatPr baseColWidth="10" defaultRowHeight="14.4" x14ac:dyDescent="0.3"/>
  <cols>
    <col min="1" max="1" width="2.33203125" customWidth="1"/>
    <col min="2" max="2" width="5.88671875" bestFit="1" customWidth="1"/>
    <col min="3" max="3" width="71.88671875" customWidth="1"/>
    <col min="4" max="4" width="1.109375" customWidth="1"/>
    <col min="5" max="5" width="6" customWidth="1"/>
    <col min="6" max="6" width="51.88671875" customWidth="1"/>
    <col min="7" max="7" width="17.88671875" customWidth="1"/>
    <col min="8" max="8" width="17.44140625" customWidth="1"/>
    <col min="9" max="29" width="15.5546875" customWidth="1"/>
  </cols>
  <sheetData>
    <row r="1" spans="2:29" ht="15" thickBot="1" x14ac:dyDescent="0.35"/>
    <row r="2" spans="2:29" ht="39" customHeight="1" thickBot="1" x14ac:dyDescent="0.7">
      <c r="F2" s="111" t="s">
        <v>32</v>
      </c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B2" s="108" t="s">
        <v>49</v>
      </c>
      <c r="AC2" s="109"/>
    </row>
    <row r="3" spans="2:29" ht="31.5" customHeight="1" x14ac:dyDescent="0.4">
      <c r="F3" s="110" t="s">
        <v>57</v>
      </c>
      <c r="G3" s="110"/>
    </row>
    <row r="4" spans="2:29" ht="31.5" customHeight="1" x14ac:dyDescent="0.4">
      <c r="F4" s="63"/>
      <c r="G4" s="63"/>
    </row>
    <row r="5" spans="2:29" ht="31.5" customHeight="1" x14ac:dyDescent="0.4">
      <c r="F5" s="110" t="s">
        <v>109</v>
      </c>
      <c r="G5" s="110"/>
    </row>
    <row r="6" spans="2:29" ht="20.25" customHeight="1" x14ac:dyDescent="0.3"/>
    <row r="7" spans="2:29" ht="15" thickBot="1" x14ac:dyDescent="0.35"/>
    <row r="8" spans="2:29" ht="42" customHeight="1" thickBot="1" x14ac:dyDescent="0.5">
      <c r="B8" s="56" t="s">
        <v>30</v>
      </c>
      <c r="C8" s="56" t="s">
        <v>0</v>
      </c>
      <c r="D8" s="57"/>
      <c r="E8" s="56" t="s">
        <v>30</v>
      </c>
      <c r="F8" s="58" t="s">
        <v>1</v>
      </c>
      <c r="G8" s="58" t="s">
        <v>47</v>
      </c>
      <c r="H8" s="59" t="s">
        <v>31</v>
      </c>
      <c r="I8" s="58" t="s">
        <v>50</v>
      </c>
      <c r="J8" s="59" t="s">
        <v>48</v>
      </c>
      <c r="K8" s="60" t="s">
        <v>2</v>
      </c>
      <c r="L8" s="61" t="s">
        <v>3</v>
      </c>
      <c r="M8" s="58" t="s">
        <v>50</v>
      </c>
      <c r="N8" s="59" t="s">
        <v>48</v>
      </c>
      <c r="O8" s="60" t="s">
        <v>2</v>
      </c>
      <c r="P8" s="61" t="s">
        <v>3</v>
      </c>
      <c r="Q8" s="58" t="s">
        <v>50</v>
      </c>
      <c r="R8" s="59" t="s">
        <v>48</v>
      </c>
      <c r="S8" s="60" t="s">
        <v>2</v>
      </c>
      <c r="T8" s="61" t="s">
        <v>3</v>
      </c>
      <c r="U8" s="58" t="s">
        <v>50</v>
      </c>
      <c r="V8" s="59" t="s">
        <v>48</v>
      </c>
      <c r="W8" s="60" t="s">
        <v>2</v>
      </c>
      <c r="X8" s="61" t="s">
        <v>3</v>
      </c>
      <c r="Y8" s="58" t="s">
        <v>50</v>
      </c>
      <c r="Z8" s="59" t="s">
        <v>48</v>
      </c>
      <c r="AA8" s="60" t="s">
        <v>2</v>
      </c>
      <c r="AB8" s="61" t="s">
        <v>3</v>
      </c>
      <c r="AC8" s="62" t="s">
        <v>33</v>
      </c>
    </row>
    <row r="9" spans="2:29" ht="37.5" customHeight="1" x14ac:dyDescent="0.55000000000000004">
      <c r="B9" s="46">
        <v>1</v>
      </c>
      <c r="C9" s="47" t="s">
        <v>4</v>
      </c>
      <c r="D9" s="48"/>
      <c r="E9" s="35">
        <v>1</v>
      </c>
      <c r="F9" s="65" t="s">
        <v>87</v>
      </c>
      <c r="G9" s="23"/>
      <c r="H9" s="7"/>
      <c r="I9" s="13"/>
      <c r="J9" s="13"/>
      <c r="K9" s="12"/>
      <c r="L9" s="18"/>
      <c r="M9" s="5"/>
      <c r="N9" s="13"/>
      <c r="O9" s="13"/>
      <c r="P9" s="15"/>
      <c r="Q9" s="5"/>
      <c r="R9" s="13"/>
      <c r="S9" s="5"/>
      <c r="T9" s="15"/>
      <c r="U9" s="5"/>
      <c r="V9" s="13"/>
      <c r="W9" s="5"/>
      <c r="X9" s="15"/>
      <c r="Y9" s="5"/>
      <c r="Z9" s="13"/>
      <c r="AA9" s="5"/>
      <c r="AB9" s="15"/>
      <c r="AC9" s="26"/>
    </row>
    <row r="10" spans="2:29" ht="37.5" customHeight="1" x14ac:dyDescent="0.55000000000000004">
      <c r="B10" s="50">
        <v>2</v>
      </c>
      <c r="C10" s="47" t="s">
        <v>41</v>
      </c>
      <c r="D10" s="48"/>
      <c r="E10" s="51">
        <v>2</v>
      </c>
      <c r="F10" s="49" t="s">
        <v>89</v>
      </c>
      <c r="G10" s="24"/>
      <c r="H10" s="8"/>
      <c r="I10" s="14"/>
      <c r="J10" s="14"/>
      <c r="K10" s="6"/>
      <c r="L10" s="16"/>
      <c r="M10" s="6"/>
      <c r="N10" s="14"/>
      <c r="O10" s="14"/>
      <c r="P10" s="16"/>
      <c r="Q10" s="6"/>
      <c r="R10" s="14"/>
      <c r="S10" s="6"/>
      <c r="T10" s="16"/>
      <c r="U10" s="6"/>
      <c r="V10" s="14"/>
      <c r="W10" s="6"/>
      <c r="X10" s="16"/>
      <c r="Y10" s="6"/>
      <c r="Z10" s="14"/>
      <c r="AA10" s="6"/>
      <c r="AB10" s="16"/>
      <c r="AC10" s="27"/>
    </row>
    <row r="11" spans="2:29" ht="37.5" customHeight="1" x14ac:dyDescent="0.55000000000000004">
      <c r="B11" s="50">
        <v>3</v>
      </c>
      <c r="C11" s="47" t="s">
        <v>5</v>
      </c>
      <c r="D11" s="48"/>
      <c r="E11" s="51">
        <v>3</v>
      </c>
      <c r="F11" s="65" t="s">
        <v>74</v>
      </c>
      <c r="G11" s="24"/>
      <c r="H11" s="8"/>
      <c r="I11" s="14"/>
      <c r="J11" s="14"/>
      <c r="K11" s="6"/>
      <c r="L11" s="16"/>
      <c r="M11" s="6"/>
      <c r="N11" s="14"/>
      <c r="O11" s="14"/>
      <c r="P11" s="16"/>
      <c r="Q11" s="6"/>
      <c r="R11" s="14"/>
      <c r="S11" s="6"/>
      <c r="T11" s="16"/>
      <c r="U11" s="6"/>
      <c r="V11" s="14"/>
      <c r="W11" s="6"/>
      <c r="X11" s="16"/>
      <c r="Y11" s="6"/>
      <c r="Z11" s="14"/>
      <c r="AA11" s="6"/>
      <c r="AB11" s="16"/>
      <c r="AC11" s="27"/>
    </row>
    <row r="12" spans="2:29" ht="37.5" customHeight="1" x14ac:dyDescent="0.55000000000000004">
      <c r="B12" s="50">
        <v>4</v>
      </c>
      <c r="C12" s="47" t="s">
        <v>6</v>
      </c>
      <c r="D12" s="48"/>
      <c r="E12" s="51">
        <v>4</v>
      </c>
      <c r="F12" s="65" t="s">
        <v>75</v>
      </c>
      <c r="G12" s="24"/>
      <c r="H12" s="8"/>
      <c r="I12" s="14"/>
      <c r="J12" s="14"/>
      <c r="K12" s="6"/>
      <c r="L12" s="16"/>
      <c r="M12" s="6"/>
      <c r="N12" s="14"/>
      <c r="O12" s="14"/>
      <c r="P12" s="16"/>
      <c r="Q12" s="6"/>
      <c r="R12" s="14"/>
      <c r="S12" s="6"/>
      <c r="T12" s="16"/>
      <c r="U12" s="6"/>
      <c r="V12" s="14"/>
      <c r="W12" s="6"/>
      <c r="X12" s="16"/>
      <c r="Y12" s="6"/>
      <c r="Z12" s="14"/>
      <c r="AA12" s="6"/>
      <c r="AB12" s="16"/>
      <c r="AC12" s="27"/>
    </row>
    <row r="13" spans="2:29" ht="37.5" customHeight="1" x14ac:dyDescent="0.55000000000000004">
      <c r="B13" s="50">
        <v>5</v>
      </c>
      <c r="C13" s="47" t="s">
        <v>7</v>
      </c>
      <c r="D13" s="48"/>
      <c r="E13" s="51">
        <v>5</v>
      </c>
      <c r="F13" s="65" t="s">
        <v>76</v>
      </c>
      <c r="G13" s="24"/>
      <c r="H13" s="8"/>
      <c r="I13" s="14"/>
      <c r="J13" s="14"/>
      <c r="K13" s="6"/>
      <c r="L13" s="16"/>
      <c r="M13" s="6"/>
      <c r="N13" s="14"/>
      <c r="O13" s="14"/>
      <c r="P13" s="16"/>
      <c r="Q13" s="6"/>
      <c r="R13" s="14"/>
      <c r="S13" s="6"/>
      <c r="T13" s="16"/>
      <c r="U13" s="6"/>
      <c r="V13" s="14"/>
      <c r="W13" s="6"/>
      <c r="X13" s="16"/>
      <c r="Y13" s="6"/>
      <c r="Z13" s="14"/>
      <c r="AA13" s="6"/>
      <c r="AB13" s="16"/>
      <c r="AC13" s="27"/>
    </row>
    <row r="14" spans="2:29" ht="37.5" customHeight="1" x14ac:dyDescent="0.55000000000000004">
      <c r="B14" s="50">
        <v>6</v>
      </c>
      <c r="C14" s="47" t="s">
        <v>8</v>
      </c>
      <c r="D14" s="48"/>
      <c r="E14" s="51">
        <v>6</v>
      </c>
      <c r="F14" s="65" t="s">
        <v>77</v>
      </c>
      <c r="G14" s="24"/>
      <c r="H14" s="8"/>
      <c r="I14" s="14"/>
      <c r="J14" s="14"/>
      <c r="K14" s="6"/>
      <c r="L14" s="16"/>
      <c r="M14" s="6"/>
      <c r="N14" s="14"/>
      <c r="O14" s="14"/>
      <c r="P14" s="16"/>
      <c r="Q14" s="6"/>
      <c r="R14" s="14"/>
      <c r="S14" s="6"/>
      <c r="T14" s="16"/>
      <c r="U14" s="6"/>
      <c r="V14" s="14"/>
      <c r="W14" s="6"/>
      <c r="X14" s="16"/>
      <c r="Y14" s="6"/>
      <c r="Z14" s="14"/>
      <c r="AA14" s="6"/>
      <c r="AB14" s="16"/>
      <c r="AC14" s="27"/>
    </row>
    <row r="15" spans="2:29" ht="37.5" customHeight="1" x14ac:dyDescent="0.55000000000000004">
      <c r="B15" s="50">
        <v>7</v>
      </c>
      <c r="C15" s="47" t="s">
        <v>9</v>
      </c>
      <c r="D15" s="48"/>
      <c r="E15" s="51">
        <v>7</v>
      </c>
      <c r="F15" s="65" t="s">
        <v>78</v>
      </c>
      <c r="G15" s="24"/>
      <c r="H15" s="8"/>
      <c r="I15" s="14"/>
      <c r="J15" s="14"/>
      <c r="K15" s="6"/>
      <c r="L15" s="16"/>
      <c r="M15" s="6"/>
      <c r="N15" s="14"/>
      <c r="O15" s="14"/>
      <c r="P15" s="16"/>
      <c r="Q15" s="6"/>
      <c r="R15" s="14"/>
      <c r="S15" s="6"/>
      <c r="T15" s="16"/>
      <c r="U15" s="6"/>
      <c r="V15" s="14"/>
      <c r="W15" s="6"/>
      <c r="X15" s="16"/>
      <c r="Y15" s="6"/>
      <c r="Z15" s="14"/>
      <c r="AA15" s="6"/>
      <c r="AB15" s="16"/>
      <c r="AC15" s="27"/>
    </row>
    <row r="16" spans="2:29" ht="37.5" customHeight="1" x14ac:dyDescent="0.55000000000000004">
      <c r="B16" s="50">
        <v>8</v>
      </c>
      <c r="C16" s="47" t="s">
        <v>10</v>
      </c>
      <c r="D16" s="48"/>
      <c r="E16" s="51">
        <v>8</v>
      </c>
      <c r="F16" s="65" t="s">
        <v>79</v>
      </c>
      <c r="G16" s="24"/>
      <c r="H16" s="8"/>
      <c r="I16" s="14"/>
      <c r="J16" s="14"/>
      <c r="K16" s="6"/>
      <c r="L16" s="16"/>
      <c r="M16" s="6"/>
      <c r="N16" s="14"/>
      <c r="O16" s="14"/>
      <c r="P16" s="16"/>
      <c r="Q16" s="6"/>
      <c r="R16" s="14"/>
      <c r="S16" s="6"/>
      <c r="T16" s="16"/>
      <c r="U16" s="6"/>
      <c r="V16" s="14"/>
      <c r="W16" s="6"/>
      <c r="X16" s="16"/>
      <c r="Y16" s="6"/>
      <c r="Z16" s="14"/>
      <c r="AA16" s="6"/>
      <c r="AB16" s="16"/>
      <c r="AC16" s="27"/>
    </row>
    <row r="17" spans="2:29" ht="37.5" customHeight="1" x14ac:dyDescent="0.55000000000000004">
      <c r="B17" s="50">
        <v>9</v>
      </c>
      <c r="C17" s="47" t="s">
        <v>11</v>
      </c>
      <c r="D17" s="48"/>
      <c r="E17" s="51">
        <v>9</v>
      </c>
      <c r="F17" s="49" t="s">
        <v>90</v>
      </c>
      <c r="G17" s="24"/>
      <c r="H17" s="8"/>
      <c r="I17" s="14"/>
      <c r="J17" s="14"/>
      <c r="K17" s="6"/>
      <c r="L17" s="16"/>
      <c r="M17" s="6"/>
      <c r="N17" s="14"/>
      <c r="O17" s="14"/>
      <c r="P17" s="16"/>
      <c r="Q17" s="6"/>
      <c r="R17" s="14"/>
      <c r="S17" s="6"/>
      <c r="T17" s="16"/>
      <c r="U17" s="6"/>
      <c r="V17" s="14"/>
      <c r="W17" s="6"/>
      <c r="X17" s="16"/>
      <c r="Y17" s="6"/>
      <c r="Z17" s="14"/>
      <c r="AA17" s="6"/>
      <c r="AB17" s="16"/>
      <c r="AC17" s="27"/>
    </row>
    <row r="18" spans="2:29" ht="37.5" customHeight="1" x14ac:dyDescent="0.55000000000000004">
      <c r="B18" s="50">
        <v>10</v>
      </c>
      <c r="C18" s="47" t="s">
        <v>12</v>
      </c>
      <c r="D18" s="48"/>
      <c r="E18" s="51">
        <v>10</v>
      </c>
      <c r="F18" s="65" t="s">
        <v>80</v>
      </c>
      <c r="G18" s="24"/>
      <c r="H18" s="8"/>
      <c r="I18" s="14"/>
      <c r="J18" s="14"/>
      <c r="K18" s="6"/>
      <c r="L18" s="16"/>
      <c r="M18" s="6"/>
      <c r="N18" s="14"/>
      <c r="O18" s="14"/>
      <c r="P18" s="16"/>
      <c r="Q18" s="6"/>
      <c r="R18" s="14"/>
      <c r="S18" s="6"/>
      <c r="T18" s="16"/>
      <c r="U18" s="6"/>
      <c r="V18" s="14"/>
      <c r="W18" s="6"/>
      <c r="X18" s="16"/>
      <c r="Y18" s="6"/>
      <c r="Z18" s="14"/>
      <c r="AA18" s="6"/>
      <c r="AB18" s="16"/>
      <c r="AC18" s="27"/>
    </row>
    <row r="19" spans="2:29" ht="37.5" customHeight="1" x14ac:dyDescent="0.55000000000000004">
      <c r="B19" s="50">
        <v>11</v>
      </c>
      <c r="C19" s="47" t="s">
        <v>13</v>
      </c>
      <c r="D19" s="48"/>
      <c r="E19" s="51">
        <v>11</v>
      </c>
      <c r="F19" s="65" t="s">
        <v>81</v>
      </c>
      <c r="G19" s="24"/>
      <c r="H19" s="8"/>
      <c r="I19" s="14"/>
      <c r="J19" s="14"/>
      <c r="K19" s="6"/>
      <c r="L19" s="16"/>
      <c r="M19" s="6"/>
      <c r="N19" s="14"/>
      <c r="O19" s="14"/>
      <c r="P19" s="16"/>
      <c r="Q19" s="6"/>
      <c r="R19" s="14"/>
      <c r="S19" s="6"/>
      <c r="T19" s="16"/>
      <c r="U19" s="6"/>
      <c r="V19" s="14"/>
      <c r="W19" s="6"/>
      <c r="X19" s="16"/>
      <c r="Y19" s="6"/>
      <c r="Z19" s="14"/>
      <c r="AA19" s="6"/>
      <c r="AB19" s="16"/>
      <c r="AC19" s="27"/>
    </row>
    <row r="20" spans="2:29" ht="37.5" customHeight="1" x14ac:dyDescent="0.55000000000000004">
      <c r="B20" s="50">
        <v>12</v>
      </c>
      <c r="C20" s="47" t="s">
        <v>14</v>
      </c>
      <c r="D20" s="48"/>
      <c r="E20" s="51">
        <v>12</v>
      </c>
      <c r="F20" s="65" t="s">
        <v>82</v>
      </c>
      <c r="G20" s="24"/>
      <c r="H20" s="8"/>
      <c r="I20" s="14"/>
      <c r="J20" s="14"/>
      <c r="K20" s="6"/>
      <c r="L20" s="16"/>
      <c r="M20" s="6"/>
      <c r="N20" s="14"/>
      <c r="O20" s="14"/>
      <c r="P20" s="16"/>
      <c r="Q20" s="6"/>
      <c r="R20" s="14"/>
      <c r="S20" s="6"/>
      <c r="T20" s="16"/>
      <c r="U20" s="6"/>
      <c r="V20" s="14"/>
      <c r="W20" s="6"/>
      <c r="X20" s="16"/>
      <c r="Y20" s="6"/>
      <c r="Z20" s="14"/>
      <c r="AA20" s="6"/>
      <c r="AB20" s="16"/>
      <c r="AC20" s="27"/>
    </row>
    <row r="21" spans="2:29" ht="37.5" customHeight="1" x14ac:dyDescent="0.55000000000000004">
      <c r="B21" s="50">
        <v>13</v>
      </c>
      <c r="C21" s="47" t="s">
        <v>15</v>
      </c>
      <c r="D21" s="48"/>
      <c r="E21" s="51">
        <v>13</v>
      </c>
      <c r="F21" s="65" t="s">
        <v>83</v>
      </c>
      <c r="G21" s="24"/>
      <c r="H21" s="8"/>
      <c r="I21" s="14"/>
      <c r="J21" s="14"/>
      <c r="K21" s="6"/>
      <c r="L21" s="16"/>
      <c r="M21" s="6"/>
      <c r="N21" s="14"/>
      <c r="O21" s="14"/>
      <c r="P21" s="16"/>
      <c r="Q21" s="6"/>
      <c r="R21" s="14"/>
      <c r="S21" s="6"/>
      <c r="T21" s="16"/>
      <c r="U21" s="6"/>
      <c r="V21" s="14"/>
      <c r="W21" s="6"/>
      <c r="X21" s="16"/>
      <c r="Y21" s="6"/>
      <c r="Z21" s="14"/>
      <c r="AA21" s="6"/>
      <c r="AB21" s="16"/>
      <c r="AC21" s="27"/>
    </row>
    <row r="22" spans="2:29" ht="37.5" customHeight="1" x14ac:dyDescent="0.55000000000000004">
      <c r="B22" s="50">
        <v>14</v>
      </c>
      <c r="C22" s="47" t="s">
        <v>16</v>
      </c>
      <c r="D22" s="48"/>
      <c r="E22" s="51">
        <v>14</v>
      </c>
      <c r="F22" s="65" t="s">
        <v>84</v>
      </c>
      <c r="G22" s="24"/>
      <c r="H22" s="8"/>
      <c r="I22" s="14"/>
      <c r="J22" s="14"/>
      <c r="K22" s="6"/>
      <c r="L22" s="16"/>
      <c r="M22" s="6"/>
      <c r="N22" s="14"/>
      <c r="O22" s="14"/>
      <c r="P22" s="16"/>
      <c r="Q22" s="6"/>
      <c r="R22" s="14"/>
      <c r="S22" s="6"/>
      <c r="T22" s="16"/>
      <c r="U22" s="6"/>
      <c r="V22" s="14"/>
      <c r="W22" s="6"/>
      <c r="X22" s="16"/>
      <c r="Y22" s="6"/>
      <c r="Z22" s="14"/>
      <c r="AA22" s="6"/>
      <c r="AB22" s="16"/>
      <c r="AC22" s="27"/>
    </row>
    <row r="23" spans="2:29" ht="37.5" customHeight="1" x14ac:dyDescent="0.55000000000000004">
      <c r="B23" s="50">
        <v>15</v>
      </c>
      <c r="C23" s="47" t="s">
        <v>17</v>
      </c>
      <c r="D23" s="48"/>
      <c r="E23" s="51">
        <v>15</v>
      </c>
      <c r="F23" s="65" t="s">
        <v>85</v>
      </c>
      <c r="G23" s="24"/>
      <c r="H23" s="8"/>
      <c r="I23" s="14"/>
      <c r="J23" s="14"/>
      <c r="K23" s="6"/>
      <c r="L23" s="16"/>
      <c r="M23" s="6"/>
      <c r="N23" s="14"/>
      <c r="O23" s="14"/>
      <c r="P23" s="16"/>
      <c r="Q23" s="6"/>
      <c r="R23" s="14"/>
      <c r="S23" s="6"/>
      <c r="T23" s="16"/>
      <c r="U23" s="6"/>
      <c r="V23" s="14"/>
      <c r="W23" s="6"/>
      <c r="X23" s="16"/>
      <c r="Y23" s="6"/>
      <c r="Z23" s="14"/>
      <c r="AA23" s="6"/>
      <c r="AB23" s="16"/>
      <c r="AC23" s="27"/>
    </row>
    <row r="24" spans="2:29" ht="37.5" customHeight="1" x14ac:dyDescent="0.55000000000000004">
      <c r="B24" s="50">
        <v>16</v>
      </c>
      <c r="C24" s="47" t="s">
        <v>37</v>
      </c>
      <c r="D24" s="48"/>
      <c r="E24" s="51">
        <v>16</v>
      </c>
      <c r="F24" s="65" t="s">
        <v>86</v>
      </c>
      <c r="G24" s="24"/>
      <c r="H24" s="8"/>
      <c r="I24" s="14"/>
      <c r="J24" s="14"/>
      <c r="K24" s="6"/>
      <c r="L24" s="16"/>
      <c r="M24" s="6"/>
      <c r="N24" s="14"/>
      <c r="O24" s="14"/>
      <c r="P24" s="16"/>
      <c r="Q24" s="6"/>
      <c r="R24" s="14"/>
      <c r="S24" s="6"/>
      <c r="T24" s="16"/>
      <c r="U24" s="6"/>
      <c r="V24" s="14"/>
      <c r="W24" s="6"/>
      <c r="X24" s="16"/>
      <c r="Y24" s="6"/>
      <c r="Z24" s="14"/>
      <c r="AA24" s="6"/>
      <c r="AB24" s="16"/>
      <c r="AC24" s="27"/>
    </row>
    <row r="25" spans="2:29" ht="37.5" customHeight="1" x14ac:dyDescent="0.55000000000000004">
      <c r="B25" s="50">
        <v>17</v>
      </c>
      <c r="C25" s="47" t="s">
        <v>18</v>
      </c>
      <c r="D25" s="48"/>
      <c r="E25" s="51">
        <v>17</v>
      </c>
      <c r="F25" s="65" t="s">
        <v>88</v>
      </c>
      <c r="G25" s="24"/>
      <c r="H25" s="8"/>
      <c r="I25" s="14"/>
      <c r="J25" s="14"/>
      <c r="K25" s="6"/>
      <c r="L25" s="16"/>
      <c r="M25" s="6"/>
      <c r="N25" s="14"/>
      <c r="O25" s="14"/>
      <c r="P25" s="16"/>
      <c r="Q25" s="6"/>
      <c r="R25" s="14"/>
      <c r="S25" s="6"/>
      <c r="T25" s="16"/>
      <c r="U25" s="6"/>
      <c r="V25" s="14"/>
      <c r="W25" s="6"/>
      <c r="X25" s="16"/>
      <c r="Y25" s="6"/>
      <c r="Z25" s="14"/>
      <c r="AA25" s="6"/>
      <c r="AB25" s="16"/>
      <c r="AC25" s="27"/>
    </row>
    <row r="26" spans="2:29" ht="37.5" customHeight="1" x14ac:dyDescent="0.55000000000000004">
      <c r="B26" s="50">
        <v>18</v>
      </c>
      <c r="C26" s="47" t="s">
        <v>19</v>
      </c>
      <c r="D26" s="48"/>
      <c r="E26" s="51">
        <v>18</v>
      </c>
      <c r="F26" s="49" t="s">
        <v>98</v>
      </c>
      <c r="G26" s="25"/>
      <c r="H26" s="8"/>
      <c r="I26" s="14"/>
      <c r="J26" s="14"/>
      <c r="K26" s="6"/>
      <c r="L26" s="16"/>
      <c r="M26" s="6"/>
      <c r="N26" s="14"/>
      <c r="O26" s="14"/>
      <c r="P26" s="16"/>
      <c r="Q26" s="6"/>
      <c r="R26" s="14"/>
      <c r="S26" s="6"/>
      <c r="T26" s="16"/>
      <c r="U26" s="6"/>
      <c r="V26" s="14"/>
      <c r="W26" s="6"/>
      <c r="X26" s="16"/>
      <c r="Y26" s="6"/>
      <c r="Z26" s="14"/>
      <c r="AA26" s="6"/>
      <c r="AB26" s="16"/>
      <c r="AC26" s="27"/>
    </row>
    <row r="27" spans="2:29" ht="37.5" customHeight="1" x14ac:dyDescent="0.55000000000000004">
      <c r="B27" s="50">
        <v>19</v>
      </c>
      <c r="C27" s="47" t="s">
        <v>20</v>
      </c>
      <c r="D27" s="48"/>
      <c r="E27" s="51">
        <v>19</v>
      </c>
      <c r="F27" s="49"/>
      <c r="G27" s="25"/>
      <c r="H27" s="8"/>
      <c r="I27" s="14"/>
      <c r="J27" s="14"/>
      <c r="K27" s="6"/>
      <c r="L27" s="16"/>
      <c r="M27" s="6"/>
      <c r="N27" s="14"/>
      <c r="O27" s="14"/>
      <c r="P27" s="16"/>
      <c r="Q27" s="6"/>
      <c r="R27" s="14"/>
      <c r="S27" s="6"/>
      <c r="T27" s="16"/>
      <c r="U27" s="6"/>
      <c r="V27" s="14"/>
      <c r="W27" s="6"/>
      <c r="X27" s="16"/>
      <c r="Y27" s="6"/>
      <c r="Z27" s="14"/>
      <c r="AA27" s="6"/>
      <c r="AB27" s="16"/>
      <c r="AC27" s="27"/>
    </row>
    <row r="28" spans="2:29" ht="37.5" customHeight="1" x14ac:dyDescent="0.55000000000000004">
      <c r="B28" s="50">
        <v>20</v>
      </c>
      <c r="C28" s="47" t="s">
        <v>21</v>
      </c>
      <c r="D28" s="48"/>
      <c r="E28" s="51">
        <v>20</v>
      </c>
      <c r="F28" s="49"/>
      <c r="G28" s="25"/>
      <c r="H28" s="8"/>
      <c r="I28" s="14"/>
      <c r="J28" s="14"/>
      <c r="K28" s="6"/>
      <c r="L28" s="16"/>
      <c r="M28" s="6"/>
      <c r="N28" s="14"/>
      <c r="O28" s="14"/>
      <c r="P28" s="16"/>
      <c r="Q28" s="6"/>
      <c r="R28" s="14"/>
      <c r="S28" s="6"/>
      <c r="T28" s="16"/>
      <c r="U28" s="6"/>
      <c r="V28" s="14"/>
      <c r="W28" s="6"/>
      <c r="X28" s="16"/>
      <c r="Y28" s="6"/>
      <c r="Z28" s="14"/>
      <c r="AA28" s="6"/>
      <c r="AB28" s="16"/>
      <c r="AC28" s="27"/>
    </row>
    <row r="29" spans="2:29" ht="37.5" customHeight="1" x14ac:dyDescent="0.55000000000000004">
      <c r="B29" s="50">
        <v>21</v>
      </c>
      <c r="C29" s="47" t="s">
        <v>22</v>
      </c>
      <c r="D29" s="48"/>
      <c r="E29" s="51">
        <v>21</v>
      </c>
      <c r="F29" s="66"/>
      <c r="G29" s="36"/>
      <c r="H29" s="37"/>
      <c r="I29" s="38"/>
      <c r="J29" s="38"/>
      <c r="K29" s="12"/>
      <c r="L29" s="18"/>
      <c r="M29" s="12"/>
      <c r="N29" s="38"/>
      <c r="O29" s="38"/>
      <c r="P29" s="18"/>
      <c r="Q29" s="12"/>
      <c r="R29" s="38"/>
      <c r="S29" s="12"/>
      <c r="T29" s="18"/>
      <c r="U29" s="12"/>
      <c r="V29" s="38"/>
      <c r="W29" s="12"/>
      <c r="X29" s="18"/>
      <c r="Y29" s="12"/>
      <c r="Z29" s="38"/>
      <c r="AA29" s="12"/>
      <c r="AB29" s="18"/>
      <c r="AC29" s="26"/>
    </row>
    <row r="30" spans="2:29" ht="37.5" customHeight="1" x14ac:dyDescent="0.55000000000000004">
      <c r="B30" s="50">
        <v>22</v>
      </c>
      <c r="C30" s="47" t="s">
        <v>23</v>
      </c>
      <c r="D30" s="48"/>
      <c r="E30" s="51">
        <v>22</v>
      </c>
      <c r="F30" s="49"/>
      <c r="G30" s="25"/>
      <c r="H30" s="8"/>
      <c r="I30" s="14"/>
      <c r="J30" s="14"/>
      <c r="K30" s="6"/>
      <c r="L30" s="16"/>
      <c r="M30" s="6"/>
      <c r="N30" s="14"/>
      <c r="O30" s="14"/>
      <c r="P30" s="16"/>
      <c r="Q30" s="6"/>
      <c r="R30" s="14"/>
      <c r="S30" s="6"/>
      <c r="T30" s="16"/>
      <c r="U30" s="6"/>
      <c r="V30" s="14"/>
      <c r="W30" s="6"/>
      <c r="X30" s="16"/>
      <c r="Y30" s="6"/>
      <c r="Z30" s="14"/>
      <c r="AA30" s="6"/>
      <c r="AB30" s="16"/>
      <c r="AC30" s="27"/>
    </row>
    <row r="31" spans="2:29" ht="37.5" customHeight="1" x14ac:dyDescent="0.55000000000000004">
      <c r="B31" s="50">
        <v>23</v>
      </c>
      <c r="C31" s="47" t="s">
        <v>24</v>
      </c>
      <c r="D31" s="48"/>
      <c r="E31" s="51">
        <v>23</v>
      </c>
      <c r="F31" s="49"/>
      <c r="G31" s="25"/>
      <c r="H31" s="8"/>
      <c r="I31" s="14"/>
      <c r="J31" s="14"/>
      <c r="K31" s="6"/>
      <c r="L31" s="16"/>
      <c r="M31" s="6"/>
      <c r="N31" s="14"/>
      <c r="O31" s="14"/>
      <c r="P31" s="16"/>
      <c r="Q31" s="6"/>
      <c r="R31" s="14"/>
      <c r="S31" s="6"/>
      <c r="T31" s="16"/>
      <c r="U31" s="6"/>
      <c r="V31" s="14"/>
      <c r="W31" s="6"/>
      <c r="X31" s="16"/>
      <c r="Y31" s="6"/>
      <c r="Z31" s="14"/>
      <c r="AA31" s="6"/>
      <c r="AB31" s="16"/>
      <c r="AC31" s="27"/>
    </row>
    <row r="32" spans="2:29" ht="37.5" customHeight="1" thickBot="1" x14ac:dyDescent="0.6">
      <c r="B32" s="50">
        <v>24</v>
      </c>
      <c r="C32" s="47" t="s">
        <v>25</v>
      </c>
      <c r="D32" s="48"/>
      <c r="E32" s="51">
        <v>24</v>
      </c>
      <c r="F32" s="53"/>
      <c r="G32" s="39"/>
      <c r="H32" s="40"/>
      <c r="I32" s="41"/>
      <c r="J32" s="41"/>
      <c r="K32" s="42"/>
      <c r="L32" s="43"/>
      <c r="M32" s="42"/>
      <c r="N32" s="41"/>
      <c r="O32" s="41"/>
      <c r="P32" s="43"/>
      <c r="Q32" s="42"/>
      <c r="R32" s="41"/>
      <c r="S32" s="42"/>
      <c r="T32" s="43"/>
      <c r="U32" s="42"/>
      <c r="V32" s="41"/>
      <c r="W32" s="42"/>
      <c r="X32" s="43"/>
      <c r="Y32" s="42"/>
      <c r="Z32" s="41"/>
      <c r="AA32" s="42"/>
      <c r="AB32" s="43"/>
      <c r="AC32" s="44"/>
    </row>
    <row r="33" spans="2:29" ht="37.5" customHeight="1" x14ac:dyDescent="0.55000000000000004">
      <c r="B33" s="50">
        <v>25</v>
      </c>
      <c r="C33" s="47" t="s">
        <v>100</v>
      </c>
      <c r="D33" s="48"/>
      <c r="E33" s="51">
        <v>25</v>
      </c>
      <c r="F33" s="66" t="s">
        <v>52</v>
      </c>
      <c r="G33" s="36"/>
      <c r="H33" s="37"/>
      <c r="I33" s="38"/>
      <c r="J33" s="38"/>
      <c r="K33" s="12"/>
      <c r="L33" s="18"/>
      <c r="M33" s="12"/>
      <c r="N33" s="38"/>
      <c r="O33" s="38"/>
      <c r="P33" s="18"/>
      <c r="Q33" s="12"/>
      <c r="R33" s="38"/>
      <c r="S33" s="12"/>
      <c r="T33" s="18"/>
      <c r="U33" s="12"/>
      <c r="V33" s="38"/>
      <c r="W33" s="12"/>
      <c r="X33" s="18"/>
      <c r="Y33" s="12"/>
      <c r="Z33" s="38"/>
      <c r="AA33" s="12"/>
      <c r="AB33" s="18"/>
      <c r="AC33" s="26"/>
    </row>
    <row r="34" spans="2:29" ht="37.5" customHeight="1" x14ac:dyDescent="0.55000000000000004">
      <c r="B34" s="50">
        <v>26</v>
      </c>
      <c r="C34" s="47" t="s">
        <v>101</v>
      </c>
      <c r="D34" s="48"/>
      <c r="E34" s="51">
        <v>26</v>
      </c>
      <c r="F34" s="49" t="s">
        <v>53</v>
      </c>
      <c r="G34" s="25"/>
      <c r="H34" s="8"/>
      <c r="I34" s="14"/>
      <c r="J34" s="14"/>
      <c r="K34" s="6"/>
      <c r="L34" s="16"/>
      <c r="M34" s="6"/>
      <c r="N34" s="14"/>
      <c r="O34" s="14"/>
      <c r="P34" s="16"/>
      <c r="Q34" s="6"/>
      <c r="R34" s="14"/>
      <c r="S34" s="6"/>
      <c r="T34" s="16"/>
      <c r="U34" s="6"/>
      <c r="V34" s="14"/>
      <c r="W34" s="6"/>
      <c r="X34" s="16"/>
      <c r="Y34" s="6"/>
      <c r="Z34" s="14"/>
      <c r="AA34" s="6"/>
      <c r="AB34" s="16"/>
      <c r="AC34" s="27"/>
    </row>
    <row r="35" spans="2:29" ht="37.5" customHeight="1" x14ac:dyDescent="0.55000000000000004">
      <c r="B35" s="50">
        <v>27</v>
      </c>
      <c r="C35" s="47" t="s">
        <v>26</v>
      </c>
      <c r="D35" s="48"/>
      <c r="E35" s="51">
        <v>24</v>
      </c>
      <c r="F35" s="49" t="s">
        <v>54</v>
      </c>
      <c r="G35" s="36"/>
      <c r="H35" s="37"/>
      <c r="I35" s="38"/>
      <c r="J35" s="38"/>
      <c r="K35" s="12"/>
      <c r="L35" s="18"/>
      <c r="M35" s="12"/>
      <c r="N35" s="38"/>
      <c r="O35" s="38"/>
      <c r="P35" s="18"/>
      <c r="Q35" s="12"/>
      <c r="R35" s="38"/>
      <c r="S35" s="12"/>
      <c r="T35" s="18"/>
      <c r="U35" s="12"/>
      <c r="V35" s="38"/>
      <c r="W35" s="12"/>
      <c r="X35" s="18"/>
      <c r="Y35" s="12"/>
      <c r="Z35" s="38"/>
      <c r="AA35" s="12"/>
      <c r="AB35" s="18"/>
      <c r="AC35" s="26"/>
    </row>
    <row r="36" spans="2:29" ht="37.5" customHeight="1" x14ac:dyDescent="0.55000000000000004">
      <c r="B36" s="50">
        <v>28</v>
      </c>
      <c r="C36" s="47" t="s">
        <v>102</v>
      </c>
      <c r="D36" s="48"/>
      <c r="E36" s="51">
        <v>25</v>
      </c>
      <c r="F36" s="49" t="s">
        <v>55</v>
      </c>
      <c r="G36" s="25"/>
      <c r="H36" s="8"/>
      <c r="I36" s="14"/>
      <c r="J36" s="14"/>
      <c r="K36" s="6"/>
      <c r="L36" s="16"/>
      <c r="M36" s="6"/>
      <c r="N36" s="14"/>
      <c r="O36" s="14"/>
      <c r="P36" s="16"/>
      <c r="Q36" s="6"/>
      <c r="R36" s="14"/>
      <c r="S36" s="6"/>
      <c r="T36" s="16"/>
      <c r="U36" s="6"/>
      <c r="V36" s="14"/>
      <c r="W36" s="6"/>
      <c r="X36" s="16"/>
      <c r="Y36" s="6"/>
      <c r="Z36" s="14"/>
      <c r="AA36" s="6"/>
      <c r="AB36" s="16"/>
      <c r="AC36" s="27"/>
    </row>
    <row r="37" spans="2:29" ht="37.5" customHeight="1" thickBot="1" x14ac:dyDescent="0.6">
      <c r="B37" s="50">
        <v>29</v>
      </c>
      <c r="C37" s="47" t="s">
        <v>42</v>
      </c>
      <c r="D37" s="48"/>
      <c r="E37" s="51">
        <v>26</v>
      </c>
      <c r="F37" s="67" t="s">
        <v>56</v>
      </c>
      <c r="G37" s="33"/>
      <c r="H37" s="34"/>
      <c r="I37" s="20"/>
      <c r="J37" s="20"/>
      <c r="K37" s="22"/>
      <c r="L37" s="21"/>
      <c r="M37" s="22"/>
      <c r="N37" s="20"/>
      <c r="O37" s="20"/>
      <c r="P37" s="21"/>
      <c r="Q37" s="22"/>
      <c r="R37" s="20"/>
      <c r="S37" s="22"/>
      <c r="T37" s="21"/>
      <c r="U37" s="22"/>
      <c r="V37" s="20"/>
      <c r="W37" s="22"/>
      <c r="X37" s="21"/>
      <c r="Y37" s="22"/>
      <c r="Z37" s="20"/>
      <c r="AA37" s="22"/>
      <c r="AB37" s="21"/>
      <c r="AC37" s="29"/>
    </row>
    <row r="38" spans="2:29" ht="37.5" customHeight="1" thickTop="1" thickBot="1" x14ac:dyDescent="0.6">
      <c r="B38" s="50">
        <v>30</v>
      </c>
      <c r="C38" s="47" t="s">
        <v>27</v>
      </c>
      <c r="D38" s="48"/>
      <c r="E38" s="68"/>
      <c r="F38" s="64"/>
      <c r="AA38" s="69" t="s">
        <v>99</v>
      </c>
      <c r="AB38" s="69"/>
      <c r="AC38" s="30"/>
    </row>
    <row r="39" spans="2:29" ht="37.5" customHeight="1" x14ac:dyDescent="0.55000000000000004">
      <c r="B39" s="50">
        <v>31</v>
      </c>
      <c r="C39" s="47" t="s">
        <v>111</v>
      </c>
      <c r="D39" s="48"/>
      <c r="E39" s="68"/>
      <c r="F39" s="48"/>
    </row>
    <row r="40" spans="2:29" ht="37.5" customHeight="1" x14ac:dyDescent="0.55000000000000004">
      <c r="B40" s="50">
        <v>32</v>
      </c>
      <c r="C40" s="47" t="s">
        <v>112</v>
      </c>
      <c r="D40" s="48"/>
      <c r="E40" s="68"/>
      <c r="F40" s="48"/>
    </row>
    <row r="41" spans="2:29" ht="37.5" customHeight="1" x14ac:dyDescent="0.55000000000000004">
      <c r="B41" s="50">
        <v>33</v>
      </c>
      <c r="C41" s="47" t="s">
        <v>113</v>
      </c>
      <c r="D41" s="48"/>
      <c r="E41" s="68"/>
      <c r="F41" s="48"/>
    </row>
    <row r="42" spans="2:29" ht="37.5" customHeight="1" x14ac:dyDescent="0.55000000000000004">
      <c r="B42" s="50">
        <v>34</v>
      </c>
      <c r="C42" s="47" t="s">
        <v>114</v>
      </c>
      <c r="D42" s="48"/>
      <c r="E42" s="68"/>
      <c r="F42" s="48"/>
    </row>
    <row r="43" spans="2:29" ht="37.5" customHeight="1" x14ac:dyDescent="0.55000000000000004">
      <c r="B43" s="50">
        <v>35</v>
      </c>
      <c r="C43" s="47" t="s">
        <v>43</v>
      </c>
      <c r="D43" s="48"/>
      <c r="E43" s="68"/>
      <c r="F43" s="48"/>
    </row>
    <row r="44" spans="2:29" ht="37.5" customHeight="1" x14ac:dyDescent="0.55000000000000004">
      <c r="B44" s="50">
        <v>36</v>
      </c>
      <c r="C44" s="47" t="s">
        <v>44</v>
      </c>
      <c r="D44" s="48"/>
      <c r="E44" s="68"/>
      <c r="F44" s="48"/>
    </row>
    <row r="45" spans="2:29" ht="37.5" customHeight="1" x14ac:dyDescent="0.55000000000000004">
      <c r="B45" s="50">
        <v>37</v>
      </c>
      <c r="C45" s="47" t="s">
        <v>34</v>
      </c>
      <c r="D45" s="48"/>
      <c r="E45" s="68"/>
      <c r="F45" s="48"/>
    </row>
    <row r="46" spans="2:29" ht="37.5" customHeight="1" x14ac:dyDescent="0.55000000000000004">
      <c r="B46" s="50">
        <v>38</v>
      </c>
      <c r="C46" s="47" t="s">
        <v>35</v>
      </c>
      <c r="D46" s="48"/>
      <c r="E46" s="68"/>
      <c r="F46" s="48"/>
    </row>
    <row r="47" spans="2:29" ht="37.5" customHeight="1" x14ac:dyDescent="0.55000000000000004">
      <c r="B47" s="50">
        <v>39</v>
      </c>
      <c r="C47" s="47" t="s">
        <v>38</v>
      </c>
      <c r="D47" s="48"/>
      <c r="E47" s="68"/>
      <c r="F47" s="48"/>
    </row>
    <row r="48" spans="2:29" ht="37.5" customHeight="1" thickBot="1" x14ac:dyDescent="0.6">
      <c r="B48" s="50">
        <v>40</v>
      </c>
      <c r="C48" s="47" t="s">
        <v>45</v>
      </c>
      <c r="D48" s="48"/>
      <c r="E48" s="68"/>
      <c r="F48" s="48"/>
    </row>
    <row r="49" spans="2:7" ht="37.5" customHeight="1" thickBot="1" x14ac:dyDescent="0.6">
      <c r="B49" s="50">
        <v>41</v>
      </c>
      <c r="C49" s="47" t="s">
        <v>36</v>
      </c>
      <c r="D49" s="48"/>
      <c r="E49" s="68"/>
      <c r="F49" s="54" t="s">
        <v>28</v>
      </c>
      <c r="G49" s="30"/>
    </row>
    <row r="50" spans="2:7" ht="37.5" customHeight="1" thickBot="1" x14ac:dyDescent="0.6">
      <c r="B50" s="50">
        <v>42</v>
      </c>
      <c r="C50" s="47" t="s">
        <v>40</v>
      </c>
      <c r="D50" s="48"/>
      <c r="E50" s="68"/>
      <c r="F50" s="55" t="s">
        <v>29</v>
      </c>
      <c r="G50" s="30"/>
    </row>
    <row r="51" spans="2:7" ht="37.5" customHeight="1" x14ac:dyDescent="0.55000000000000004">
      <c r="B51" s="50">
        <v>43</v>
      </c>
      <c r="C51" s="47" t="s">
        <v>39</v>
      </c>
      <c r="D51" s="48"/>
      <c r="E51" s="68"/>
      <c r="F51" s="48"/>
    </row>
    <row r="52" spans="2:7" ht="37.5" customHeight="1" x14ac:dyDescent="0.55000000000000004">
      <c r="B52" s="50">
        <v>44</v>
      </c>
      <c r="C52" s="47" t="s">
        <v>46</v>
      </c>
      <c r="D52" s="48"/>
      <c r="E52" s="68"/>
      <c r="F52" s="48"/>
    </row>
    <row r="53" spans="2:7" ht="37.5" customHeight="1" x14ac:dyDescent="0.55000000000000004">
      <c r="B53" s="50">
        <v>45</v>
      </c>
      <c r="C53" s="47" t="s">
        <v>103</v>
      </c>
      <c r="D53" s="48"/>
      <c r="E53" s="68"/>
      <c r="F53" s="48"/>
    </row>
    <row r="54" spans="2:7" ht="37.5" customHeight="1" x14ac:dyDescent="0.55000000000000004">
      <c r="B54" s="50">
        <v>46</v>
      </c>
      <c r="C54" s="47" t="s">
        <v>104</v>
      </c>
      <c r="D54" s="48"/>
      <c r="E54" s="68"/>
      <c r="F54" s="48"/>
    </row>
    <row r="55" spans="2:7" ht="28.8" x14ac:dyDescent="0.55000000000000004">
      <c r="B55" s="50">
        <v>47</v>
      </c>
      <c r="C55" s="47" t="s">
        <v>105</v>
      </c>
    </row>
    <row r="56" spans="2:7" ht="28.8" x14ac:dyDescent="0.55000000000000004">
      <c r="B56" s="50">
        <v>48</v>
      </c>
      <c r="C56" s="47"/>
    </row>
  </sheetData>
  <mergeCells count="4">
    <mergeCell ref="AB2:AC2"/>
    <mergeCell ref="F3:G3"/>
    <mergeCell ref="F2:Z2"/>
    <mergeCell ref="F5:G5"/>
  </mergeCells>
  <pageMargins left="0" right="0" top="0" bottom="0" header="0.31496062992125984" footer="0.31496062992125984"/>
  <pageSetup paperSize="9" scale="28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pageSetUpPr fitToPage="1"/>
  </sheetPr>
  <dimension ref="B1:AC56"/>
  <sheetViews>
    <sheetView topLeftCell="A51" zoomScale="80" zoomScaleNormal="80" workbookViewId="0">
      <selection activeCell="F44" sqref="F44"/>
    </sheetView>
  </sheetViews>
  <sheetFormatPr baseColWidth="10" defaultColWidth="11.44140625" defaultRowHeight="14.4" x14ac:dyDescent="0.3"/>
  <cols>
    <col min="1" max="1" width="2.33203125" customWidth="1"/>
    <col min="2" max="2" width="5.88671875" bestFit="1" customWidth="1"/>
    <col min="3" max="3" width="67.5546875" customWidth="1"/>
    <col min="4" max="4" width="1.109375" customWidth="1"/>
    <col min="5" max="5" width="6" customWidth="1"/>
    <col min="6" max="6" width="51.88671875" customWidth="1"/>
    <col min="7" max="7" width="17.88671875" customWidth="1"/>
    <col min="8" max="8" width="17.44140625" customWidth="1"/>
    <col min="9" max="29" width="15.5546875" customWidth="1"/>
  </cols>
  <sheetData>
    <row r="1" spans="2:29" ht="15" thickBot="1" x14ac:dyDescent="0.35"/>
    <row r="2" spans="2:29" ht="39" customHeight="1" thickBot="1" x14ac:dyDescent="0.7">
      <c r="F2" s="111" t="s">
        <v>32</v>
      </c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B2" s="108" t="s">
        <v>49</v>
      </c>
      <c r="AC2" s="109"/>
    </row>
    <row r="3" spans="2:29" ht="31.5" customHeight="1" x14ac:dyDescent="0.4">
      <c r="F3" s="110" t="s">
        <v>57</v>
      </c>
      <c r="G3" s="110"/>
    </row>
    <row r="4" spans="2:29" ht="31.5" customHeight="1" x14ac:dyDescent="0.4">
      <c r="F4" s="63"/>
      <c r="G4" s="63"/>
    </row>
    <row r="5" spans="2:29" ht="31.5" customHeight="1" x14ac:dyDescent="0.4">
      <c r="F5" s="110" t="s">
        <v>109</v>
      </c>
      <c r="G5" s="110"/>
    </row>
    <row r="6" spans="2:29" ht="20.25" customHeight="1" x14ac:dyDescent="0.3"/>
    <row r="7" spans="2:29" ht="15" thickBot="1" x14ac:dyDescent="0.35"/>
    <row r="8" spans="2:29" ht="42" customHeight="1" thickBot="1" x14ac:dyDescent="0.5">
      <c r="B8" s="56" t="s">
        <v>30</v>
      </c>
      <c r="C8" s="56" t="s">
        <v>0</v>
      </c>
      <c r="D8" s="57"/>
      <c r="E8" s="56" t="s">
        <v>30</v>
      </c>
      <c r="F8" s="58" t="s">
        <v>1</v>
      </c>
      <c r="G8" s="58" t="s">
        <v>47</v>
      </c>
      <c r="H8" s="59" t="s">
        <v>31</v>
      </c>
      <c r="I8" s="58" t="s">
        <v>50</v>
      </c>
      <c r="J8" s="59" t="s">
        <v>48</v>
      </c>
      <c r="K8" s="60" t="s">
        <v>2</v>
      </c>
      <c r="L8" s="61" t="s">
        <v>3</v>
      </c>
      <c r="M8" s="58" t="s">
        <v>50</v>
      </c>
      <c r="N8" s="59" t="s">
        <v>48</v>
      </c>
      <c r="O8" s="60" t="s">
        <v>2</v>
      </c>
      <c r="P8" s="61" t="s">
        <v>3</v>
      </c>
      <c r="Q8" s="58" t="s">
        <v>50</v>
      </c>
      <c r="R8" s="59" t="s">
        <v>48</v>
      </c>
      <c r="S8" s="60" t="s">
        <v>2</v>
      </c>
      <c r="T8" s="61" t="s">
        <v>3</v>
      </c>
      <c r="U8" s="58" t="s">
        <v>50</v>
      </c>
      <c r="V8" s="59" t="s">
        <v>48</v>
      </c>
      <c r="W8" s="60" t="s">
        <v>2</v>
      </c>
      <c r="X8" s="61" t="s">
        <v>3</v>
      </c>
      <c r="Y8" s="58" t="s">
        <v>50</v>
      </c>
      <c r="Z8" s="59" t="s">
        <v>48</v>
      </c>
      <c r="AA8" s="60" t="s">
        <v>2</v>
      </c>
      <c r="AB8" s="61" t="s">
        <v>3</v>
      </c>
      <c r="AC8" s="62" t="s">
        <v>33</v>
      </c>
    </row>
    <row r="9" spans="2:29" ht="37.5" customHeight="1" x14ac:dyDescent="0.55000000000000004">
      <c r="B9" s="46">
        <v>1</v>
      </c>
      <c r="C9" s="47" t="s">
        <v>4</v>
      </c>
      <c r="D9" s="48"/>
      <c r="E9" s="35">
        <v>1</v>
      </c>
      <c r="F9" s="65" t="s">
        <v>58</v>
      </c>
      <c r="G9" s="23"/>
      <c r="H9" s="7"/>
      <c r="I9" s="13"/>
      <c r="J9" s="13"/>
      <c r="K9" s="12"/>
      <c r="L9" s="18"/>
      <c r="M9" s="5"/>
      <c r="N9" s="13"/>
      <c r="O9" s="13"/>
      <c r="P9" s="15"/>
      <c r="Q9" s="5"/>
      <c r="R9" s="13"/>
      <c r="S9" s="5"/>
      <c r="T9" s="15"/>
      <c r="U9" s="5"/>
      <c r="V9" s="13"/>
      <c r="W9" s="5"/>
      <c r="X9" s="15"/>
      <c r="Y9" s="5"/>
      <c r="Z9" s="13"/>
      <c r="AA9" s="5"/>
      <c r="AB9" s="15"/>
      <c r="AC9" s="26"/>
    </row>
    <row r="10" spans="2:29" ht="37.5" customHeight="1" x14ac:dyDescent="0.55000000000000004">
      <c r="B10" s="50">
        <v>2</v>
      </c>
      <c r="C10" s="47" t="s">
        <v>41</v>
      </c>
      <c r="D10" s="48"/>
      <c r="E10" s="51">
        <v>2</v>
      </c>
      <c r="F10" s="49" t="s">
        <v>65</v>
      </c>
      <c r="G10" s="24"/>
      <c r="H10" s="8"/>
      <c r="I10" s="14"/>
      <c r="J10" s="14"/>
      <c r="K10" s="6"/>
      <c r="L10" s="16"/>
      <c r="M10" s="6"/>
      <c r="N10" s="14"/>
      <c r="O10" s="14"/>
      <c r="P10" s="16"/>
      <c r="Q10" s="6"/>
      <c r="R10" s="14"/>
      <c r="S10" s="6"/>
      <c r="T10" s="16"/>
      <c r="U10" s="6"/>
      <c r="V10" s="14"/>
      <c r="W10" s="6"/>
      <c r="X10" s="16"/>
      <c r="Y10" s="6"/>
      <c r="Z10" s="14"/>
      <c r="AA10" s="6"/>
      <c r="AB10" s="16"/>
      <c r="AC10" s="27"/>
    </row>
    <row r="11" spans="2:29" ht="37.5" customHeight="1" x14ac:dyDescent="0.55000000000000004">
      <c r="B11" s="50">
        <v>3</v>
      </c>
      <c r="C11" s="47" t="s">
        <v>5</v>
      </c>
      <c r="D11" s="48"/>
      <c r="E11" s="51">
        <v>3</v>
      </c>
      <c r="F11" s="65" t="s">
        <v>60</v>
      </c>
      <c r="G11" s="24"/>
      <c r="H11" s="8"/>
      <c r="I11" s="14"/>
      <c r="J11" s="14"/>
      <c r="K11" s="6"/>
      <c r="L11" s="16"/>
      <c r="M11" s="6"/>
      <c r="N11" s="14"/>
      <c r="O11" s="14"/>
      <c r="P11" s="16"/>
      <c r="Q11" s="6"/>
      <c r="R11" s="14"/>
      <c r="S11" s="6"/>
      <c r="T11" s="16"/>
      <c r="U11" s="6"/>
      <c r="V11" s="14"/>
      <c r="W11" s="6"/>
      <c r="X11" s="16"/>
      <c r="Y11" s="6"/>
      <c r="Z11" s="14"/>
      <c r="AA11" s="6"/>
      <c r="AB11" s="16"/>
      <c r="AC11" s="27"/>
    </row>
    <row r="12" spans="2:29" ht="37.5" customHeight="1" x14ac:dyDescent="0.55000000000000004">
      <c r="B12" s="50">
        <v>4</v>
      </c>
      <c r="C12" s="47" t="s">
        <v>6</v>
      </c>
      <c r="D12" s="48"/>
      <c r="E12" s="51">
        <v>4</v>
      </c>
      <c r="F12" s="65" t="s">
        <v>66</v>
      </c>
      <c r="G12" s="24"/>
      <c r="H12" s="8"/>
      <c r="I12" s="14"/>
      <c r="J12" s="14"/>
      <c r="K12" s="6"/>
      <c r="L12" s="16"/>
      <c r="M12" s="6"/>
      <c r="N12" s="14"/>
      <c r="O12" s="14"/>
      <c r="P12" s="16"/>
      <c r="Q12" s="6"/>
      <c r="R12" s="14"/>
      <c r="S12" s="6"/>
      <c r="T12" s="16"/>
      <c r="U12" s="6"/>
      <c r="V12" s="14"/>
      <c r="W12" s="6"/>
      <c r="X12" s="16"/>
      <c r="Y12" s="6"/>
      <c r="Z12" s="14"/>
      <c r="AA12" s="6"/>
      <c r="AB12" s="16"/>
      <c r="AC12" s="27"/>
    </row>
    <row r="13" spans="2:29" ht="37.5" customHeight="1" x14ac:dyDescent="0.55000000000000004">
      <c r="B13" s="50">
        <v>5</v>
      </c>
      <c r="C13" s="47" t="s">
        <v>7</v>
      </c>
      <c r="D13" s="48"/>
      <c r="E13" s="51">
        <v>5</v>
      </c>
      <c r="F13" s="65" t="s">
        <v>73</v>
      </c>
      <c r="G13" s="24"/>
      <c r="H13" s="8"/>
      <c r="I13" s="14"/>
      <c r="J13" s="14"/>
      <c r="K13" s="6"/>
      <c r="L13" s="16"/>
      <c r="M13" s="6"/>
      <c r="N13" s="14"/>
      <c r="O13" s="14"/>
      <c r="P13" s="16"/>
      <c r="Q13" s="6"/>
      <c r="R13" s="14"/>
      <c r="S13" s="6"/>
      <c r="T13" s="16"/>
      <c r="U13" s="6"/>
      <c r="V13" s="14"/>
      <c r="W13" s="6"/>
      <c r="X13" s="16"/>
      <c r="Y13" s="6"/>
      <c r="Z13" s="14"/>
      <c r="AA13" s="6"/>
      <c r="AB13" s="16"/>
      <c r="AC13" s="27"/>
    </row>
    <row r="14" spans="2:29" ht="37.5" customHeight="1" x14ac:dyDescent="0.55000000000000004">
      <c r="B14" s="50">
        <v>6</v>
      </c>
      <c r="C14" s="47" t="s">
        <v>8</v>
      </c>
      <c r="D14" s="48"/>
      <c r="E14" s="51">
        <v>6</v>
      </c>
      <c r="F14" s="65" t="s">
        <v>59</v>
      </c>
      <c r="G14" s="24"/>
      <c r="H14" s="8"/>
      <c r="I14" s="14"/>
      <c r="J14" s="14"/>
      <c r="K14" s="6"/>
      <c r="L14" s="16"/>
      <c r="M14" s="6"/>
      <c r="N14" s="14"/>
      <c r="O14" s="14"/>
      <c r="P14" s="16"/>
      <c r="Q14" s="6"/>
      <c r="R14" s="14"/>
      <c r="S14" s="6"/>
      <c r="T14" s="16"/>
      <c r="U14" s="6"/>
      <c r="V14" s="14"/>
      <c r="W14" s="6"/>
      <c r="X14" s="16"/>
      <c r="Y14" s="6"/>
      <c r="Z14" s="14"/>
      <c r="AA14" s="6"/>
      <c r="AB14" s="16"/>
      <c r="AC14" s="27"/>
    </row>
    <row r="15" spans="2:29" ht="37.5" customHeight="1" x14ac:dyDescent="0.55000000000000004">
      <c r="B15" s="50">
        <v>7</v>
      </c>
      <c r="C15" s="47" t="s">
        <v>9</v>
      </c>
      <c r="D15" s="48"/>
      <c r="E15" s="51">
        <v>7</v>
      </c>
      <c r="F15" s="65" t="s">
        <v>61</v>
      </c>
      <c r="G15" s="24"/>
      <c r="H15" s="8"/>
      <c r="I15" s="14"/>
      <c r="J15" s="14"/>
      <c r="K15" s="6"/>
      <c r="L15" s="16"/>
      <c r="M15" s="6"/>
      <c r="N15" s="14"/>
      <c r="O15" s="14"/>
      <c r="P15" s="16"/>
      <c r="Q15" s="6"/>
      <c r="R15" s="14"/>
      <c r="S15" s="6"/>
      <c r="T15" s="16"/>
      <c r="U15" s="6"/>
      <c r="V15" s="14"/>
      <c r="W15" s="6"/>
      <c r="X15" s="16"/>
      <c r="Y15" s="6"/>
      <c r="Z15" s="14"/>
      <c r="AA15" s="6"/>
      <c r="AB15" s="16"/>
      <c r="AC15" s="27"/>
    </row>
    <row r="16" spans="2:29" ht="37.5" customHeight="1" x14ac:dyDescent="0.55000000000000004">
      <c r="B16" s="50">
        <v>8</v>
      </c>
      <c r="C16" s="47" t="s">
        <v>10</v>
      </c>
      <c r="D16" s="48"/>
      <c r="E16" s="51">
        <v>8</v>
      </c>
      <c r="F16" s="49" t="s">
        <v>106</v>
      </c>
      <c r="G16" s="24"/>
      <c r="H16" s="8"/>
      <c r="I16" s="14"/>
      <c r="J16" s="14"/>
      <c r="K16" s="6"/>
      <c r="L16" s="16"/>
      <c r="M16" s="6"/>
      <c r="N16" s="14"/>
      <c r="O16" s="14"/>
      <c r="P16" s="16"/>
      <c r="Q16" s="6"/>
      <c r="R16" s="14"/>
      <c r="S16" s="6"/>
      <c r="T16" s="16"/>
      <c r="U16" s="6"/>
      <c r="V16" s="14"/>
      <c r="W16" s="6"/>
      <c r="X16" s="16"/>
      <c r="Y16" s="6"/>
      <c r="Z16" s="14"/>
      <c r="AA16" s="6"/>
      <c r="AB16" s="16"/>
      <c r="AC16" s="27"/>
    </row>
    <row r="17" spans="2:29" ht="37.5" customHeight="1" x14ac:dyDescent="0.55000000000000004">
      <c r="B17" s="50">
        <v>9</v>
      </c>
      <c r="C17" s="47" t="s">
        <v>11</v>
      </c>
      <c r="D17" s="48"/>
      <c r="E17" s="51">
        <v>9</v>
      </c>
      <c r="F17" s="65" t="s">
        <v>62</v>
      </c>
      <c r="G17" s="24"/>
      <c r="H17" s="8"/>
      <c r="I17" s="14"/>
      <c r="J17" s="14"/>
      <c r="K17" s="6"/>
      <c r="L17" s="16"/>
      <c r="M17" s="6"/>
      <c r="N17" s="14"/>
      <c r="O17" s="14"/>
      <c r="P17" s="16"/>
      <c r="Q17" s="6"/>
      <c r="R17" s="14"/>
      <c r="S17" s="6"/>
      <c r="T17" s="16"/>
      <c r="U17" s="6"/>
      <c r="V17" s="14"/>
      <c r="W17" s="6"/>
      <c r="X17" s="16"/>
      <c r="Y17" s="6"/>
      <c r="Z17" s="14"/>
      <c r="AA17" s="6"/>
      <c r="AB17" s="16"/>
      <c r="AC17" s="27"/>
    </row>
    <row r="18" spans="2:29" ht="37.5" customHeight="1" x14ac:dyDescent="0.55000000000000004">
      <c r="B18" s="50">
        <v>10</v>
      </c>
      <c r="C18" s="47" t="s">
        <v>12</v>
      </c>
      <c r="D18" s="48"/>
      <c r="E18" s="51">
        <v>10</v>
      </c>
      <c r="F18" s="65" t="s">
        <v>63</v>
      </c>
      <c r="G18" s="24"/>
      <c r="H18" s="8"/>
      <c r="I18" s="14"/>
      <c r="J18" s="14"/>
      <c r="K18" s="6"/>
      <c r="L18" s="16"/>
      <c r="M18" s="6"/>
      <c r="N18" s="14"/>
      <c r="O18" s="14"/>
      <c r="P18" s="16"/>
      <c r="Q18" s="6"/>
      <c r="R18" s="14"/>
      <c r="S18" s="6"/>
      <c r="T18" s="16"/>
      <c r="U18" s="6"/>
      <c r="V18" s="14"/>
      <c r="W18" s="6"/>
      <c r="X18" s="16"/>
      <c r="Y18" s="6"/>
      <c r="Z18" s="14"/>
      <c r="AA18" s="6"/>
      <c r="AB18" s="16"/>
      <c r="AC18" s="27"/>
    </row>
    <row r="19" spans="2:29" ht="37.5" customHeight="1" x14ac:dyDescent="0.55000000000000004">
      <c r="B19" s="50">
        <v>11</v>
      </c>
      <c r="C19" s="47" t="s">
        <v>13</v>
      </c>
      <c r="D19" s="48"/>
      <c r="E19" s="51">
        <v>11</v>
      </c>
      <c r="F19" s="65" t="s">
        <v>64</v>
      </c>
      <c r="G19" s="24"/>
      <c r="H19" s="8"/>
      <c r="I19" s="14"/>
      <c r="J19" s="14"/>
      <c r="K19" s="6"/>
      <c r="L19" s="16"/>
      <c r="M19" s="6"/>
      <c r="N19" s="14"/>
      <c r="O19" s="14"/>
      <c r="P19" s="16"/>
      <c r="Q19" s="6"/>
      <c r="R19" s="14"/>
      <c r="S19" s="6"/>
      <c r="T19" s="16"/>
      <c r="U19" s="6"/>
      <c r="V19" s="14"/>
      <c r="W19" s="6"/>
      <c r="X19" s="16"/>
      <c r="Y19" s="6"/>
      <c r="Z19" s="14"/>
      <c r="AA19" s="6"/>
      <c r="AB19" s="16"/>
      <c r="AC19" s="27"/>
    </row>
    <row r="20" spans="2:29" ht="37.5" customHeight="1" x14ac:dyDescent="0.55000000000000004">
      <c r="B20" s="50">
        <v>12</v>
      </c>
      <c r="C20" s="47" t="s">
        <v>14</v>
      </c>
      <c r="D20" s="48"/>
      <c r="E20" s="51">
        <v>12</v>
      </c>
      <c r="F20" s="65" t="s">
        <v>107</v>
      </c>
      <c r="G20" s="24"/>
      <c r="H20" s="8"/>
      <c r="I20" s="14"/>
      <c r="J20" s="14"/>
      <c r="K20" s="6"/>
      <c r="L20" s="16"/>
      <c r="M20" s="6"/>
      <c r="N20" s="14"/>
      <c r="O20" s="14"/>
      <c r="P20" s="16"/>
      <c r="Q20" s="6"/>
      <c r="R20" s="14"/>
      <c r="S20" s="6"/>
      <c r="T20" s="16"/>
      <c r="U20" s="6"/>
      <c r="V20" s="14"/>
      <c r="W20" s="6"/>
      <c r="X20" s="16"/>
      <c r="Y20" s="6"/>
      <c r="Z20" s="14"/>
      <c r="AA20" s="6"/>
      <c r="AB20" s="16"/>
      <c r="AC20" s="27"/>
    </row>
    <row r="21" spans="2:29" ht="37.5" customHeight="1" x14ac:dyDescent="0.55000000000000004">
      <c r="B21" s="50">
        <v>13</v>
      </c>
      <c r="C21" s="47" t="s">
        <v>15</v>
      </c>
      <c r="D21" s="48"/>
      <c r="E21" s="51">
        <v>13</v>
      </c>
      <c r="F21" s="65" t="s">
        <v>67</v>
      </c>
      <c r="G21" s="24"/>
      <c r="H21" s="8"/>
      <c r="I21" s="14"/>
      <c r="J21" s="14"/>
      <c r="K21" s="6"/>
      <c r="L21" s="16"/>
      <c r="M21" s="6"/>
      <c r="N21" s="14"/>
      <c r="O21" s="14"/>
      <c r="P21" s="16"/>
      <c r="Q21" s="6"/>
      <c r="R21" s="14"/>
      <c r="S21" s="6"/>
      <c r="T21" s="16"/>
      <c r="U21" s="6"/>
      <c r="V21" s="14"/>
      <c r="W21" s="6"/>
      <c r="X21" s="16"/>
      <c r="Y21" s="6"/>
      <c r="Z21" s="14"/>
      <c r="AA21" s="6"/>
      <c r="AB21" s="16"/>
      <c r="AC21" s="27"/>
    </row>
    <row r="22" spans="2:29" ht="37.5" customHeight="1" x14ac:dyDescent="0.55000000000000004">
      <c r="B22" s="50">
        <v>14</v>
      </c>
      <c r="C22" s="47" t="s">
        <v>16</v>
      </c>
      <c r="D22" s="48"/>
      <c r="E22" s="51">
        <v>14</v>
      </c>
      <c r="F22" s="65" t="s">
        <v>72</v>
      </c>
      <c r="G22" s="24"/>
      <c r="H22" s="8"/>
      <c r="I22" s="14"/>
      <c r="J22" s="14"/>
      <c r="K22" s="6"/>
      <c r="L22" s="16"/>
      <c r="M22" s="6"/>
      <c r="N22" s="14"/>
      <c r="O22" s="14"/>
      <c r="P22" s="16"/>
      <c r="Q22" s="6"/>
      <c r="R22" s="14"/>
      <c r="S22" s="6"/>
      <c r="T22" s="16"/>
      <c r="U22" s="6"/>
      <c r="V22" s="14"/>
      <c r="W22" s="6"/>
      <c r="X22" s="16"/>
      <c r="Y22" s="6"/>
      <c r="Z22" s="14"/>
      <c r="AA22" s="6"/>
      <c r="AB22" s="16"/>
      <c r="AC22" s="27"/>
    </row>
    <row r="23" spans="2:29" ht="37.5" customHeight="1" x14ac:dyDescent="0.55000000000000004">
      <c r="B23" s="50">
        <v>15</v>
      </c>
      <c r="C23" s="47" t="s">
        <v>17</v>
      </c>
      <c r="D23" s="48"/>
      <c r="E23" s="51">
        <v>15</v>
      </c>
      <c r="F23" s="49" t="s">
        <v>68</v>
      </c>
      <c r="G23" s="24"/>
      <c r="H23" s="8"/>
      <c r="I23" s="14"/>
      <c r="J23" s="14"/>
      <c r="K23" s="6"/>
      <c r="L23" s="16"/>
      <c r="M23" s="6"/>
      <c r="N23" s="14"/>
      <c r="O23" s="14"/>
      <c r="P23" s="16"/>
      <c r="Q23" s="6"/>
      <c r="R23" s="14"/>
      <c r="S23" s="6"/>
      <c r="T23" s="16"/>
      <c r="U23" s="6"/>
      <c r="V23" s="14"/>
      <c r="W23" s="6"/>
      <c r="X23" s="16"/>
      <c r="Y23" s="6"/>
      <c r="Z23" s="14"/>
      <c r="AA23" s="6"/>
      <c r="AB23" s="16"/>
      <c r="AC23" s="27"/>
    </row>
    <row r="24" spans="2:29" ht="37.5" customHeight="1" x14ac:dyDescent="0.55000000000000004">
      <c r="B24" s="50">
        <v>16</v>
      </c>
      <c r="C24" s="47" t="s">
        <v>37</v>
      </c>
      <c r="D24" s="48"/>
      <c r="E24" s="51">
        <v>16</v>
      </c>
      <c r="F24" s="49" t="s">
        <v>69</v>
      </c>
      <c r="G24" s="24"/>
      <c r="H24" s="8"/>
      <c r="I24" s="14"/>
      <c r="J24" s="14"/>
      <c r="K24" s="6"/>
      <c r="L24" s="16"/>
      <c r="M24" s="6"/>
      <c r="N24" s="14"/>
      <c r="O24" s="14"/>
      <c r="P24" s="16"/>
      <c r="Q24" s="6"/>
      <c r="R24" s="14"/>
      <c r="S24" s="6"/>
      <c r="T24" s="16"/>
      <c r="U24" s="6"/>
      <c r="V24" s="14"/>
      <c r="W24" s="6"/>
      <c r="X24" s="16"/>
      <c r="Y24" s="6"/>
      <c r="Z24" s="14"/>
      <c r="AA24" s="6"/>
      <c r="AB24" s="16"/>
      <c r="AC24" s="27"/>
    </row>
    <row r="25" spans="2:29" ht="37.5" customHeight="1" x14ac:dyDescent="0.55000000000000004">
      <c r="B25" s="50">
        <v>17</v>
      </c>
      <c r="C25" s="47" t="s">
        <v>18</v>
      </c>
      <c r="D25" s="48"/>
      <c r="E25" s="51">
        <v>17</v>
      </c>
      <c r="F25" s="52" t="s">
        <v>70</v>
      </c>
      <c r="G25" s="24"/>
      <c r="H25" s="8"/>
      <c r="I25" s="14"/>
      <c r="J25" s="14"/>
      <c r="K25" s="6"/>
      <c r="L25" s="16"/>
      <c r="M25" s="6"/>
      <c r="N25" s="14"/>
      <c r="O25" s="14"/>
      <c r="P25" s="16"/>
      <c r="Q25" s="6"/>
      <c r="R25" s="14"/>
      <c r="S25" s="6"/>
      <c r="T25" s="16"/>
      <c r="U25" s="6"/>
      <c r="V25" s="14"/>
      <c r="W25" s="6"/>
      <c r="X25" s="16"/>
      <c r="Y25" s="6"/>
      <c r="Z25" s="14"/>
      <c r="AA25" s="6"/>
      <c r="AB25" s="16"/>
      <c r="AC25" s="27"/>
    </row>
    <row r="26" spans="2:29" ht="37.5" customHeight="1" x14ac:dyDescent="0.55000000000000004">
      <c r="B26" s="50">
        <v>18</v>
      </c>
      <c r="C26" s="47" t="s">
        <v>19</v>
      </c>
      <c r="D26" s="48"/>
      <c r="E26" s="51">
        <v>18</v>
      </c>
      <c r="F26" s="49" t="s">
        <v>71</v>
      </c>
      <c r="G26" s="25"/>
      <c r="H26" s="8"/>
      <c r="I26" s="14"/>
      <c r="J26" s="14"/>
      <c r="K26" s="6"/>
      <c r="L26" s="16"/>
      <c r="M26" s="6"/>
      <c r="N26" s="14"/>
      <c r="O26" s="14"/>
      <c r="P26" s="16"/>
      <c r="Q26" s="6"/>
      <c r="R26" s="14"/>
      <c r="S26" s="6"/>
      <c r="T26" s="16"/>
      <c r="U26" s="6"/>
      <c r="V26" s="14"/>
      <c r="W26" s="6"/>
      <c r="X26" s="16"/>
      <c r="Y26" s="6"/>
      <c r="Z26" s="14"/>
      <c r="AA26" s="6"/>
      <c r="AB26" s="16"/>
      <c r="AC26" s="27"/>
    </row>
    <row r="27" spans="2:29" ht="37.5" customHeight="1" x14ac:dyDescent="0.55000000000000004">
      <c r="B27" s="50">
        <v>19</v>
      </c>
      <c r="C27" s="47" t="s">
        <v>20</v>
      </c>
      <c r="D27" s="48"/>
      <c r="E27" s="51">
        <v>19</v>
      </c>
      <c r="F27" s="49"/>
      <c r="G27" s="25"/>
      <c r="H27" s="8"/>
      <c r="I27" s="14"/>
      <c r="J27" s="14"/>
      <c r="K27" s="6"/>
      <c r="L27" s="16"/>
      <c r="M27" s="6"/>
      <c r="N27" s="14"/>
      <c r="O27" s="14"/>
      <c r="P27" s="16"/>
      <c r="Q27" s="6"/>
      <c r="R27" s="14"/>
      <c r="S27" s="6"/>
      <c r="T27" s="16"/>
      <c r="U27" s="6"/>
      <c r="V27" s="14"/>
      <c r="W27" s="6"/>
      <c r="X27" s="16"/>
      <c r="Y27" s="6"/>
      <c r="Z27" s="14"/>
      <c r="AA27" s="6"/>
      <c r="AB27" s="16"/>
      <c r="AC27" s="27"/>
    </row>
    <row r="28" spans="2:29" ht="37.5" customHeight="1" x14ac:dyDescent="0.55000000000000004">
      <c r="B28" s="50">
        <v>20</v>
      </c>
      <c r="C28" s="47" t="s">
        <v>21</v>
      </c>
      <c r="D28" s="48"/>
      <c r="E28" s="51">
        <v>20</v>
      </c>
      <c r="F28" s="52"/>
      <c r="G28" s="45"/>
      <c r="H28" s="10"/>
      <c r="I28" s="19"/>
      <c r="J28" s="19"/>
      <c r="K28" s="11"/>
      <c r="L28" s="17"/>
      <c r="M28" s="11"/>
      <c r="N28" s="19"/>
      <c r="O28" s="19"/>
      <c r="P28" s="17"/>
      <c r="Q28" s="11"/>
      <c r="R28" s="19"/>
      <c r="S28" s="11"/>
      <c r="T28" s="17"/>
      <c r="U28" s="11"/>
      <c r="V28" s="19"/>
      <c r="W28" s="11"/>
      <c r="X28" s="17"/>
      <c r="Y28" s="11"/>
      <c r="Z28" s="19"/>
      <c r="AA28" s="11"/>
      <c r="AB28" s="17"/>
      <c r="AC28" s="28"/>
    </row>
    <row r="29" spans="2:29" ht="37.5" customHeight="1" x14ac:dyDescent="0.55000000000000004">
      <c r="B29" s="50">
        <v>21</v>
      </c>
      <c r="C29" s="47" t="s">
        <v>22</v>
      </c>
      <c r="D29" s="48"/>
      <c r="E29" s="51">
        <v>21</v>
      </c>
      <c r="F29" s="49"/>
      <c r="G29" s="25"/>
      <c r="H29" s="8"/>
      <c r="I29" s="14"/>
      <c r="J29" s="14"/>
      <c r="K29" s="6"/>
      <c r="L29" s="16"/>
      <c r="M29" s="6"/>
      <c r="N29" s="14"/>
      <c r="O29" s="14"/>
      <c r="P29" s="16"/>
      <c r="Q29" s="6"/>
      <c r="R29" s="14"/>
      <c r="S29" s="6"/>
      <c r="T29" s="16"/>
      <c r="U29" s="6"/>
      <c r="V29" s="14"/>
      <c r="W29" s="6"/>
      <c r="X29" s="16"/>
      <c r="Y29" s="6"/>
      <c r="Z29" s="14"/>
      <c r="AA29" s="6"/>
      <c r="AB29" s="16"/>
      <c r="AC29" s="27"/>
    </row>
    <row r="30" spans="2:29" ht="37.5" customHeight="1" x14ac:dyDescent="0.55000000000000004">
      <c r="B30" s="50">
        <v>22</v>
      </c>
      <c r="C30" s="47" t="s">
        <v>23</v>
      </c>
      <c r="D30" s="48"/>
      <c r="E30" s="51">
        <v>22</v>
      </c>
      <c r="F30" s="49"/>
      <c r="G30" s="25"/>
      <c r="H30" s="8"/>
      <c r="I30" s="14"/>
      <c r="J30" s="14"/>
      <c r="K30" s="6"/>
      <c r="L30" s="16"/>
      <c r="M30" s="6"/>
      <c r="N30" s="14"/>
      <c r="O30" s="14"/>
      <c r="P30" s="16"/>
      <c r="Q30" s="6"/>
      <c r="R30" s="14"/>
      <c r="S30" s="6"/>
      <c r="T30" s="16"/>
      <c r="U30" s="6"/>
      <c r="V30" s="14"/>
      <c r="W30" s="6"/>
      <c r="X30" s="16"/>
      <c r="Y30" s="6"/>
      <c r="Z30" s="14"/>
      <c r="AA30" s="6"/>
      <c r="AB30" s="16"/>
      <c r="AC30" s="27"/>
    </row>
    <row r="31" spans="2:29" ht="37.5" customHeight="1" x14ac:dyDescent="0.55000000000000004">
      <c r="B31" s="50">
        <v>23</v>
      </c>
      <c r="C31" s="47" t="s">
        <v>24</v>
      </c>
      <c r="D31" s="48"/>
      <c r="E31" s="51">
        <v>23</v>
      </c>
      <c r="F31" s="49"/>
      <c r="G31" s="25"/>
      <c r="H31" s="8"/>
      <c r="I31" s="14"/>
      <c r="J31" s="14"/>
      <c r="K31" s="6"/>
      <c r="L31" s="16"/>
      <c r="M31" s="6"/>
      <c r="N31" s="14"/>
      <c r="O31" s="14"/>
      <c r="P31" s="16"/>
      <c r="Q31" s="6"/>
      <c r="R31" s="14"/>
      <c r="S31" s="6"/>
      <c r="T31" s="16"/>
      <c r="U31" s="6"/>
      <c r="V31" s="14"/>
      <c r="W31" s="6"/>
      <c r="X31" s="16"/>
      <c r="Y31" s="6"/>
      <c r="Z31" s="14"/>
      <c r="AA31" s="6"/>
      <c r="AB31" s="16"/>
      <c r="AC31" s="27"/>
    </row>
    <row r="32" spans="2:29" ht="37.5" customHeight="1" x14ac:dyDescent="0.55000000000000004">
      <c r="B32" s="50">
        <v>24</v>
      </c>
      <c r="C32" s="47" t="s">
        <v>25</v>
      </c>
      <c r="D32" s="48"/>
      <c r="E32" s="51">
        <v>24</v>
      </c>
      <c r="F32" s="49"/>
      <c r="G32" s="25"/>
      <c r="H32" s="8"/>
      <c r="I32" s="14"/>
      <c r="J32" s="14"/>
      <c r="K32" s="6"/>
      <c r="L32" s="16"/>
      <c r="M32" s="6"/>
      <c r="N32" s="14"/>
      <c r="O32" s="14"/>
      <c r="P32" s="16"/>
      <c r="Q32" s="6"/>
      <c r="R32" s="14"/>
      <c r="S32" s="6"/>
      <c r="T32" s="16"/>
      <c r="U32" s="6"/>
      <c r="V32" s="14"/>
      <c r="W32" s="6"/>
      <c r="X32" s="16"/>
      <c r="Y32" s="6"/>
      <c r="Z32" s="14"/>
      <c r="AA32" s="6"/>
      <c r="AB32" s="16"/>
      <c r="AC32" s="27"/>
    </row>
    <row r="33" spans="2:29" ht="37.5" customHeight="1" thickBot="1" x14ac:dyDescent="0.6">
      <c r="B33" s="50">
        <v>25</v>
      </c>
      <c r="C33" s="47" t="s">
        <v>100</v>
      </c>
      <c r="D33" s="48"/>
      <c r="E33" s="51">
        <v>25</v>
      </c>
      <c r="F33" s="53"/>
      <c r="G33" s="39"/>
      <c r="H33" s="40"/>
      <c r="I33" s="41"/>
      <c r="J33" s="41"/>
      <c r="K33" s="42"/>
      <c r="L33" s="43"/>
      <c r="M33" s="42"/>
      <c r="N33" s="41"/>
      <c r="O33" s="41"/>
      <c r="P33" s="43"/>
      <c r="Q33" s="42"/>
      <c r="R33" s="41"/>
      <c r="S33" s="42"/>
      <c r="T33" s="43"/>
      <c r="U33" s="42"/>
      <c r="V33" s="41"/>
      <c r="W33" s="42"/>
      <c r="X33" s="43"/>
      <c r="Y33" s="42"/>
      <c r="Z33" s="41"/>
      <c r="AA33" s="42"/>
      <c r="AB33" s="43"/>
      <c r="AC33" s="44"/>
    </row>
    <row r="34" spans="2:29" ht="37.5" customHeight="1" x14ac:dyDescent="0.55000000000000004">
      <c r="B34" s="50">
        <v>26</v>
      </c>
      <c r="C34" s="47" t="s">
        <v>101</v>
      </c>
      <c r="D34" s="48"/>
      <c r="E34" s="51">
        <v>26</v>
      </c>
      <c r="F34" s="49" t="s">
        <v>95</v>
      </c>
      <c r="G34" s="36"/>
      <c r="H34" s="37"/>
      <c r="I34" s="38"/>
      <c r="J34" s="38"/>
      <c r="K34" s="12"/>
      <c r="L34" s="18"/>
      <c r="M34" s="12"/>
      <c r="N34" s="38"/>
      <c r="O34" s="38"/>
      <c r="P34" s="18"/>
      <c r="Q34" s="12"/>
      <c r="R34" s="38"/>
      <c r="S34" s="12"/>
      <c r="T34" s="18"/>
      <c r="U34" s="12"/>
      <c r="V34" s="38"/>
      <c r="W34" s="12"/>
      <c r="X34" s="18"/>
      <c r="Y34" s="12"/>
      <c r="Z34" s="38"/>
      <c r="AA34" s="12"/>
      <c r="AB34" s="18"/>
      <c r="AC34" s="26"/>
    </row>
    <row r="35" spans="2:29" ht="37.5" customHeight="1" x14ac:dyDescent="0.55000000000000004">
      <c r="B35" s="50">
        <v>27</v>
      </c>
      <c r="C35" s="47" t="s">
        <v>26</v>
      </c>
      <c r="D35" s="48"/>
      <c r="E35" s="68">
        <v>27</v>
      </c>
      <c r="F35" s="49" t="s">
        <v>96</v>
      </c>
      <c r="G35" s="36"/>
      <c r="H35" s="37"/>
      <c r="I35" s="38"/>
      <c r="J35" s="38"/>
      <c r="K35" s="12"/>
      <c r="L35" s="18"/>
      <c r="M35" s="12"/>
      <c r="N35" s="38"/>
      <c r="O35" s="38"/>
      <c r="P35" s="18"/>
      <c r="Q35" s="12"/>
      <c r="R35" s="38"/>
      <c r="S35" s="12"/>
      <c r="T35" s="18"/>
      <c r="U35" s="12"/>
      <c r="V35" s="38"/>
      <c r="W35" s="12"/>
      <c r="X35" s="18"/>
      <c r="Y35" s="12"/>
      <c r="Z35" s="38"/>
      <c r="AA35" s="12"/>
      <c r="AB35" s="18"/>
      <c r="AC35" s="26"/>
    </row>
    <row r="36" spans="2:29" ht="37.5" customHeight="1" x14ac:dyDescent="0.55000000000000004">
      <c r="B36" s="50">
        <v>28</v>
      </c>
      <c r="C36" s="47" t="s">
        <v>102</v>
      </c>
      <c r="D36" s="48"/>
      <c r="E36" s="68">
        <v>28</v>
      </c>
      <c r="F36" s="49" t="s">
        <v>91</v>
      </c>
      <c r="G36" s="25"/>
      <c r="H36" s="8"/>
      <c r="I36" s="14"/>
      <c r="J36" s="14"/>
      <c r="K36" s="6"/>
      <c r="L36" s="16"/>
      <c r="M36" s="6"/>
      <c r="N36" s="14"/>
      <c r="O36" s="14"/>
      <c r="P36" s="16"/>
      <c r="Q36" s="6"/>
      <c r="R36" s="14"/>
      <c r="S36" s="6"/>
      <c r="T36" s="16"/>
      <c r="U36" s="6"/>
      <c r="V36" s="14"/>
      <c r="W36" s="6"/>
      <c r="X36" s="16"/>
      <c r="Y36" s="6"/>
      <c r="Z36" s="14"/>
      <c r="AA36" s="6"/>
      <c r="AB36" s="16"/>
      <c r="AC36" s="27"/>
    </row>
    <row r="37" spans="2:29" ht="37.5" customHeight="1" x14ac:dyDescent="0.55000000000000004">
      <c r="B37" s="50">
        <v>29</v>
      </c>
      <c r="C37" s="47" t="s">
        <v>42</v>
      </c>
      <c r="D37" s="48"/>
      <c r="E37" s="68">
        <v>29</v>
      </c>
      <c r="F37" s="49" t="s">
        <v>92</v>
      </c>
      <c r="G37" s="25"/>
      <c r="H37" s="8"/>
      <c r="I37" s="14"/>
      <c r="J37" s="14"/>
      <c r="K37" s="6"/>
      <c r="L37" s="16"/>
      <c r="M37" s="6"/>
      <c r="N37" s="14"/>
      <c r="O37" s="14"/>
      <c r="P37" s="16"/>
      <c r="Q37" s="6"/>
      <c r="R37" s="14"/>
      <c r="S37" s="6"/>
      <c r="T37" s="16"/>
      <c r="U37" s="6"/>
      <c r="V37" s="14"/>
      <c r="W37" s="6"/>
      <c r="X37" s="16"/>
      <c r="Y37" s="6"/>
      <c r="Z37" s="14"/>
      <c r="AA37" s="6"/>
      <c r="AB37" s="16"/>
      <c r="AC37" s="27"/>
    </row>
    <row r="38" spans="2:29" ht="37.5" customHeight="1" x14ac:dyDescent="0.55000000000000004">
      <c r="B38" s="50">
        <v>30</v>
      </c>
      <c r="C38" s="47" t="s">
        <v>27</v>
      </c>
      <c r="D38" s="48"/>
      <c r="E38" s="68">
        <v>30</v>
      </c>
      <c r="F38" s="49" t="s">
        <v>97</v>
      </c>
      <c r="G38" s="25"/>
      <c r="H38" s="8"/>
      <c r="I38" s="14"/>
      <c r="J38" s="14"/>
      <c r="K38" s="6"/>
      <c r="L38" s="16"/>
      <c r="M38" s="6"/>
      <c r="N38" s="14"/>
      <c r="O38" s="14"/>
      <c r="P38" s="16"/>
      <c r="Q38" s="6"/>
      <c r="R38" s="14"/>
      <c r="S38" s="6"/>
      <c r="T38" s="16"/>
      <c r="U38" s="6"/>
      <c r="V38" s="14"/>
      <c r="W38" s="6"/>
      <c r="X38" s="16"/>
      <c r="Y38" s="6"/>
      <c r="Z38" s="14"/>
      <c r="AA38" s="6"/>
      <c r="AB38" s="16"/>
      <c r="AC38" s="27"/>
    </row>
    <row r="39" spans="2:29" ht="37.5" customHeight="1" x14ac:dyDescent="0.55000000000000004">
      <c r="B39" s="50">
        <v>31</v>
      </c>
      <c r="C39" s="47" t="s">
        <v>111</v>
      </c>
      <c r="D39" s="48"/>
      <c r="E39" s="68">
        <v>31</v>
      </c>
      <c r="F39" s="66" t="s">
        <v>93</v>
      </c>
      <c r="G39" s="25"/>
      <c r="H39" s="8"/>
      <c r="I39" s="14"/>
      <c r="J39" s="14"/>
      <c r="K39" s="6"/>
      <c r="L39" s="16"/>
      <c r="M39" s="6"/>
      <c r="N39" s="14"/>
      <c r="O39" s="14"/>
      <c r="P39" s="16"/>
      <c r="Q39" s="6"/>
      <c r="R39" s="14"/>
      <c r="S39" s="6"/>
      <c r="T39" s="16"/>
      <c r="U39" s="6"/>
      <c r="V39" s="14"/>
      <c r="W39" s="6"/>
      <c r="X39" s="16"/>
      <c r="Y39" s="6"/>
      <c r="Z39" s="14"/>
      <c r="AA39" s="6"/>
      <c r="AB39" s="16"/>
      <c r="AC39" s="27"/>
    </row>
    <row r="40" spans="2:29" ht="37.5" customHeight="1" x14ac:dyDescent="0.55000000000000004">
      <c r="B40" s="50">
        <v>32</v>
      </c>
      <c r="C40" s="47" t="s">
        <v>112</v>
      </c>
      <c r="D40" s="48"/>
      <c r="E40" s="68">
        <v>32</v>
      </c>
      <c r="F40" s="49" t="s">
        <v>94</v>
      </c>
      <c r="G40" s="25"/>
      <c r="H40" s="8"/>
      <c r="I40" s="14"/>
      <c r="J40" s="14"/>
      <c r="K40" s="6"/>
      <c r="L40" s="16"/>
      <c r="M40" s="6"/>
      <c r="N40" s="14"/>
      <c r="O40" s="14"/>
      <c r="P40" s="16"/>
      <c r="Q40" s="6"/>
      <c r="R40" s="14"/>
      <c r="S40" s="6"/>
      <c r="T40" s="16"/>
      <c r="U40" s="6"/>
      <c r="V40" s="14"/>
      <c r="W40" s="6"/>
      <c r="X40" s="16"/>
      <c r="Y40" s="6"/>
      <c r="Z40" s="14"/>
      <c r="AA40" s="6"/>
      <c r="AB40" s="16"/>
      <c r="AC40" s="27"/>
    </row>
    <row r="41" spans="2:29" ht="37.5" customHeight="1" thickBot="1" x14ac:dyDescent="0.6">
      <c r="B41" s="50">
        <v>33</v>
      </c>
      <c r="C41" s="47" t="s">
        <v>113</v>
      </c>
      <c r="D41" s="48"/>
      <c r="E41" s="68">
        <v>33</v>
      </c>
      <c r="F41" s="53" t="s">
        <v>108</v>
      </c>
      <c r="G41" s="25"/>
      <c r="H41" s="8"/>
      <c r="I41" s="14"/>
      <c r="J41" s="14"/>
      <c r="K41" s="6"/>
      <c r="L41" s="16"/>
      <c r="M41" s="6"/>
      <c r="N41" s="14"/>
      <c r="O41" s="14"/>
      <c r="P41" s="16"/>
      <c r="Q41" s="6"/>
      <c r="R41" s="14"/>
      <c r="S41" s="6"/>
      <c r="T41" s="16"/>
      <c r="U41" s="6"/>
      <c r="V41" s="14"/>
      <c r="W41" s="6"/>
      <c r="X41" s="16"/>
      <c r="Y41" s="6"/>
      <c r="Z41" s="14"/>
      <c r="AA41" s="6"/>
      <c r="AB41" s="16"/>
      <c r="AC41" s="27"/>
    </row>
    <row r="42" spans="2:29" ht="37.5" customHeight="1" x14ac:dyDescent="0.55000000000000004">
      <c r="B42" s="50">
        <v>34</v>
      </c>
      <c r="C42" s="47" t="s">
        <v>114</v>
      </c>
      <c r="D42" s="48"/>
      <c r="E42" s="68">
        <v>34</v>
      </c>
      <c r="F42" s="49"/>
      <c r="G42" s="25"/>
      <c r="H42" s="8"/>
      <c r="I42" s="14"/>
      <c r="J42" s="14"/>
      <c r="K42" s="6"/>
      <c r="L42" s="16"/>
      <c r="M42" s="6"/>
      <c r="N42" s="14"/>
      <c r="O42" s="14"/>
      <c r="P42" s="16"/>
      <c r="Q42" s="6"/>
      <c r="R42" s="14"/>
      <c r="S42" s="6"/>
      <c r="T42" s="16"/>
      <c r="U42" s="6"/>
      <c r="V42" s="14"/>
      <c r="W42" s="6"/>
      <c r="X42" s="16"/>
      <c r="Y42" s="6"/>
      <c r="Z42" s="14"/>
      <c r="AA42" s="6"/>
      <c r="AB42" s="16"/>
      <c r="AC42" s="27"/>
    </row>
    <row r="43" spans="2:29" ht="37.5" customHeight="1" x14ac:dyDescent="0.55000000000000004">
      <c r="B43" s="50">
        <v>35</v>
      </c>
      <c r="C43" s="47" t="s">
        <v>43</v>
      </c>
      <c r="D43" s="48"/>
      <c r="E43" s="68">
        <v>35</v>
      </c>
      <c r="F43" s="49"/>
      <c r="G43" s="25"/>
      <c r="H43" s="8"/>
      <c r="I43" s="14"/>
      <c r="J43" s="14"/>
      <c r="K43" s="6"/>
      <c r="L43" s="16"/>
      <c r="M43" s="6"/>
      <c r="N43" s="14"/>
      <c r="O43" s="14"/>
      <c r="P43" s="16"/>
      <c r="Q43" s="6"/>
      <c r="R43" s="14"/>
      <c r="S43" s="6"/>
      <c r="T43" s="16"/>
      <c r="U43" s="6"/>
      <c r="V43" s="14"/>
      <c r="W43" s="6"/>
      <c r="X43" s="16"/>
      <c r="Y43" s="6"/>
      <c r="Z43" s="14"/>
      <c r="AA43" s="6"/>
      <c r="AB43" s="16"/>
      <c r="AC43" s="27"/>
    </row>
    <row r="44" spans="2:29" ht="37.5" customHeight="1" thickBot="1" x14ac:dyDescent="0.6">
      <c r="B44" s="50">
        <v>36</v>
      </c>
      <c r="C44" s="47" t="s">
        <v>44</v>
      </c>
      <c r="D44" s="48"/>
      <c r="E44" s="68">
        <v>36</v>
      </c>
      <c r="F44" s="53"/>
      <c r="G44" s="39"/>
      <c r="H44" s="40"/>
      <c r="I44" s="41"/>
      <c r="J44" s="41"/>
      <c r="K44" s="42"/>
      <c r="L44" s="43"/>
      <c r="M44" s="42"/>
      <c r="N44" s="41"/>
      <c r="O44" s="41"/>
      <c r="P44" s="43"/>
      <c r="Q44" s="42"/>
      <c r="R44" s="41"/>
      <c r="S44" s="42"/>
      <c r="T44" s="43"/>
      <c r="U44" s="42"/>
      <c r="V44" s="41"/>
      <c r="W44" s="42"/>
      <c r="X44" s="43"/>
      <c r="Y44" s="42"/>
      <c r="Z44" s="41"/>
      <c r="AA44" s="42"/>
      <c r="AB44" s="43"/>
      <c r="AC44" s="43"/>
    </row>
    <row r="45" spans="2:29" ht="37.5" customHeight="1" x14ac:dyDescent="0.55000000000000004">
      <c r="B45" s="50">
        <v>37</v>
      </c>
      <c r="C45" s="47" t="s">
        <v>34</v>
      </c>
      <c r="D45" s="48"/>
      <c r="E45" s="68">
        <v>37</v>
      </c>
      <c r="F45" s="66" t="s">
        <v>51</v>
      </c>
      <c r="G45" s="36"/>
      <c r="H45" s="37"/>
      <c r="I45" s="38"/>
      <c r="J45" s="38"/>
      <c r="K45" s="12"/>
      <c r="L45" s="18"/>
      <c r="M45" s="12"/>
      <c r="N45" s="38"/>
      <c r="O45" s="38"/>
      <c r="P45" s="18"/>
      <c r="Q45" s="12"/>
      <c r="R45" s="38"/>
      <c r="S45" s="12"/>
      <c r="T45" s="18"/>
      <c r="U45" s="12"/>
      <c r="V45" s="38"/>
      <c r="W45" s="12"/>
      <c r="X45" s="18"/>
      <c r="Y45" s="12"/>
      <c r="Z45" s="38"/>
      <c r="AA45" s="12"/>
      <c r="AB45" s="18"/>
      <c r="AC45" s="27"/>
    </row>
    <row r="46" spans="2:29" ht="37.5" customHeight="1" x14ac:dyDescent="0.55000000000000004">
      <c r="B46" s="50">
        <v>38</v>
      </c>
      <c r="C46" s="47" t="s">
        <v>35</v>
      </c>
      <c r="D46" s="48"/>
      <c r="E46" s="68">
        <v>38</v>
      </c>
      <c r="F46" s="49" t="s">
        <v>52</v>
      </c>
      <c r="G46" s="25"/>
      <c r="H46" s="8"/>
      <c r="I46" s="14"/>
      <c r="J46" s="14"/>
      <c r="K46" s="6"/>
      <c r="L46" s="16"/>
      <c r="M46" s="6"/>
      <c r="N46" s="14"/>
      <c r="O46" s="14"/>
      <c r="P46" s="16"/>
      <c r="Q46" s="6"/>
      <c r="R46" s="14"/>
      <c r="S46" s="6"/>
      <c r="T46" s="16"/>
      <c r="U46" s="6"/>
      <c r="V46" s="14"/>
      <c r="W46" s="6"/>
      <c r="X46" s="16"/>
      <c r="Y46" s="6"/>
      <c r="Z46" s="14"/>
      <c r="AA46" s="6"/>
      <c r="AB46" s="16"/>
      <c r="AC46" s="27"/>
    </row>
    <row r="47" spans="2:29" ht="37.5" customHeight="1" x14ac:dyDescent="0.55000000000000004">
      <c r="B47" s="50">
        <v>39</v>
      </c>
      <c r="C47" s="47" t="s">
        <v>38</v>
      </c>
      <c r="D47" s="48"/>
      <c r="E47" s="68">
        <v>39</v>
      </c>
      <c r="F47" s="49" t="s">
        <v>53</v>
      </c>
      <c r="G47" s="25"/>
      <c r="H47" s="8"/>
      <c r="I47" s="14"/>
      <c r="J47" s="14"/>
      <c r="K47" s="6"/>
      <c r="L47" s="16"/>
      <c r="M47" s="6"/>
      <c r="N47" s="14"/>
      <c r="O47" s="14"/>
      <c r="P47" s="16"/>
      <c r="Q47" s="6"/>
      <c r="R47" s="14"/>
      <c r="S47" s="6"/>
      <c r="T47" s="16"/>
      <c r="U47" s="6"/>
      <c r="V47" s="14"/>
      <c r="W47" s="6"/>
      <c r="X47" s="16"/>
      <c r="Y47" s="6"/>
      <c r="Z47" s="14"/>
      <c r="AA47" s="6"/>
      <c r="AB47" s="16"/>
      <c r="AC47" s="27"/>
    </row>
    <row r="48" spans="2:29" ht="37.5" customHeight="1" x14ac:dyDescent="0.55000000000000004">
      <c r="B48" s="50">
        <v>40</v>
      </c>
      <c r="C48" s="47" t="s">
        <v>45</v>
      </c>
      <c r="D48" s="48"/>
      <c r="E48" s="68">
        <v>40</v>
      </c>
      <c r="F48" s="49" t="s">
        <v>54</v>
      </c>
      <c r="G48" s="25"/>
      <c r="H48" s="8"/>
      <c r="I48" s="14"/>
      <c r="J48" s="14"/>
      <c r="K48" s="6"/>
      <c r="L48" s="16"/>
      <c r="M48" s="6"/>
      <c r="N48" s="14"/>
      <c r="O48" s="14"/>
      <c r="P48" s="16"/>
      <c r="Q48" s="6"/>
      <c r="R48" s="14"/>
      <c r="S48" s="6"/>
      <c r="T48" s="16"/>
      <c r="U48" s="6"/>
      <c r="V48" s="14"/>
      <c r="W48" s="6"/>
      <c r="X48" s="16"/>
      <c r="Y48" s="6"/>
      <c r="Z48" s="14"/>
      <c r="AA48" s="6"/>
      <c r="AB48" s="16"/>
      <c r="AC48" s="27"/>
    </row>
    <row r="49" spans="2:29" ht="37.5" customHeight="1" x14ac:dyDescent="0.55000000000000004">
      <c r="B49" s="50">
        <v>41</v>
      </c>
      <c r="C49" s="47" t="s">
        <v>36</v>
      </c>
      <c r="D49" s="48"/>
      <c r="E49" s="68">
        <v>41</v>
      </c>
      <c r="F49" s="49" t="s">
        <v>55</v>
      </c>
      <c r="G49" s="25"/>
      <c r="H49" s="8"/>
      <c r="I49" s="14"/>
      <c r="J49" s="14"/>
      <c r="K49" s="6"/>
      <c r="L49" s="16"/>
      <c r="M49" s="6"/>
      <c r="N49" s="14"/>
      <c r="O49" s="14"/>
      <c r="P49" s="16"/>
      <c r="Q49" s="6"/>
      <c r="R49" s="14"/>
      <c r="S49" s="6"/>
      <c r="T49" s="16"/>
      <c r="U49" s="6"/>
      <c r="V49" s="14"/>
      <c r="W49" s="6"/>
      <c r="X49" s="16"/>
      <c r="Y49" s="6"/>
      <c r="Z49" s="14"/>
      <c r="AA49" s="6"/>
      <c r="AB49" s="16"/>
      <c r="AC49" s="27"/>
    </row>
    <row r="50" spans="2:29" ht="37.5" customHeight="1" thickBot="1" x14ac:dyDescent="0.6">
      <c r="B50" s="50">
        <v>42</v>
      </c>
      <c r="C50" s="47" t="s">
        <v>40</v>
      </c>
      <c r="D50" s="48"/>
      <c r="E50" s="68">
        <v>42</v>
      </c>
      <c r="F50" s="53" t="s">
        <v>56</v>
      </c>
      <c r="G50" s="39"/>
      <c r="H50" s="40"/>
      <c r="I50" s="41"/>
      <c r="J50" s="41"/>
      <c r="K50" s="42"/>
      <c r="L50" s="43"/>
      <c r="M50" s="42"/>
      <c r="N50" s="41"/>
      <c r="O50" s="41"/>
      <c r="P50" s="43"/>
      <c r="Q50" s="42"/>
      <c r="R50" s="41"/>
      <c r="S50" s="42"/>
      <c r="T50" s="43"/>
      <c r="U50" s="42"/>
      <c r="V50" s="41"/>
      <c r="W50" s="42"/>
      <c r="X50" s="43"/>
      <c r="Y50" s="42"/>
      <c r="Z50" s="41"/>
      <c r="AA50" s="42"/>
      <c r="AB50" s="43"/>
      <c r="AC50" s="44"/>
    </row>
    <row r="51" spans="2:29" ht="37.5" customHeight="1" thickBot="1" x14ac:dyDescent="0.6">
      <c r="B51" s="50">
        <v>43</v>
      </c>
      <c r="C51" s="47" t="s">
        <v>39</v>
      </c>
      <c r="D51" s="48"/>
      <c r="E51" s="68"/>
      <c r="F51" s="48"/>
      <c r="AA51" s="112" t="s">
        <v>99</v>
      </c>
      <c r="AB51" s="112"/>
      <c r="AC51" s="70"/>
    </row>
    <row r="52" spans="2:29" ht="37.5" customHeight="1" thickBot="1" x14ac:dyDescent="0.6">
      <c r="B52" s="50">
        <v>44</v>
      </c>
      <c r="C52" s="47" t="s">
        <v>46</v>
      </c>
      <c r="D52" s="48"/>
      <c r="E52" s="68"/>
      <c r="F52" s="48"/>
      <c r="AA52" s="112"/>
      <c r="AB52" s="112"/>
    </row>
    <row r="53" spans="2:29" ht="37.5" customHeight="1" thickBot="1" x14ac:dyDescent="0.6">
      <c r="B53" s="50">
        <v>45</v>
      </c>
      <c r="C53" s="47" t="s">
        <v>103</v>
      </c>
      <c r="D53" s="48"/>
      <c r="E53" s="68"/>
      <c r="F53" s="54" t="s">
        <v>28</v>
      </c>
      <c r="G53" s="30"/>
    </row>
    <row r="54" spans="2:29" ht="37.5" customHeight="1" thickBot="1" x14ac:dyDescent="0.6">
      <c r="B54" s="50">
        <v>46</v>
      </c>
      <c r="C54" s="47" t="s">
        <v>104</v>
      </c>
      <c r="D54" s="48"/>
      <c r="E54" s="68"/>
      <c r="F54" s="55" t="s">
        <v>29</v>
      </c>
      <c r="G54" s="30"/>
    </row>
    <row r="55" spans="2:29" ht="28.8" x14ac:dyDescent="0.55000000000000004">
      <c r="B55" s="50">
        <v>47</v>
      </c>
      <c r="C55" s="47" t="s">
        <v>105</v>
      </c>
    </row>
    <row r="56" spans="2:29" ht="28.8" x14ac:dyDescent="0.55000000000000004">
      <c r="B56" s="50">
        <v>48</v>
      </c>
      <c r="C56" s="47"/>
    </row>
  </sheetData>
  <mergeCells count="6">
    <mergeCell ref="F2:Z2"/>
    <mergeCell ref="AB2:AC2"/>
    <mergeCell ref="F3:G3"/>
    <mergeCell ref="F5:G5"/>
    <mergeCell ref="AA52:AB52"/>
    <mergeCell ref="AA51:AB51"/>
  </mergeCells>
  <pageMargins left="0" right="0" top="0" bottom="0" header="0.31496062992125984" footer="0.31496062992125984"/>
  <pageSetup paperSize="9" scale="28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C5:G33"/>
  <sheetViews>
    <sheetView topLeftCell="B1" zoomScaleNormal="100" workbookViewId="0">
      <selection activeCell="L13" sqref="L13"/>
    </sheetView>
  </sheetViews>
  <sheetFormatPr baseColWidth="10" defaultRowHeight="14.4" x14ac:dyDescent="0.3"/>
  <cols>
    <col min="2" max="2" width="3.44140625" customWidth="1"/>
    <col min="3" max="3" width="4.88671875" customWidth="1"/>
    <col min="4" max="4" width="50.33203125" customWidth="1"/>
    <col min="7" max="7" width="47.6640625" customWidth="1"/>
  </cols>
  <sheetData>
    <row r="5" spans="3:7" x14ac:dyDescent="0.3">
      <c r="D5" s="107" t="s">
        <v>110</v>
      </c>
      <c r="E5" s="107"/>
      <c r="F5" s="107"/>
      <c r="G5" s="107"/>
    </row>
    <row r="6" spans="3:7" ht="15" thickBot="1" x14ac:dyDescent="0.35"/>
    <row r="7" spans="3:7" ht="15" thickBot="1" x14ac:dyDescent="0.35">
      <c r="C7" s="1" t="s">
        <v>30</v>
      </c>
      <c r="D7" s="1" t="s">
        <v>0</v>
      </c>
      <c r="F7" s="1" t="s">
        <v>30</v>
      </c>
      <c r="G7" s="1" t="s">
        <v>0</v>
      </c>
    </row>
    <row r="8" spans="3:7" ht="18" x14ac:dyDescent="0.35">
      <c r="C8" s="4">
        <v>1</v>
      </c>
      <c r="D8" s="9" t="s">
        <v>4</v>
      </c>
      <c r="F8" s="2">
        <v>27</v>
      </c>
      <c r="G8" s="9" t="s">
        <v>26</v>
      </c>
    </row>
    <row r="9" spans="3:7" ht="18" x14ac:dyDescent="0.35">
      <c r="C9" s="2">
        <v>2</v>
      </c>
      <c r="D9" s="9" t="s">
        <v>41</v>
      </c>
      <c r="F9" s="2">
        <v>28</v>
      </c>
      <c r="G9" s="9" t="s">
        <v>102</v>
      </c>
    </row>
    <row r="10" spans="3:7" ht="18" x14ac:dyDescent="0.35">
      <c r="C10" s="2">
        <v>3</v>
      </c>
      <c r="D10" s="9" t="s">
        <v>5</v>
      </c>
      <c r="F10" s="2">
        <v>29</v>
      </c>
      <c r="G10" s="9" t="s">
        <v>42</v>
      </c>
    </row>
    <row r="11" spans="3:7" ht="18" x14ac:dyDescent="0.35">
      <c r="C11" s="2">
        <v>4</v>
      </c>
      <c r="D11" s="9" t="s">
        <v>6</v>
      </c>
      <c r="F11" s="2">
        <v>30</v>
      </c>
      <c r="G11" s="9" t="s">
        <v>27</v>
      </c>
    </row>
    <row r="12" spans="3:7" ht="18" x14ac:dyDescent="0.35">
      <c r="C12" s="2">
        <v>5</v>
      </c>
      <c r="D12" s="9" t="s">
        <v>7</v>
      </c>
      <c r="F12" s="2">
        <v>31</v>
      </c>
      <c r="G12" s="9" t="s">
        <v>43</v>
      </c>
    </row>
    <row r="13" spans="3:7" ht="18" x14ac:dyDescent="0.35">
      <c r="C13" s="2">
        <v>6</v>
      </c>
      <c r="D13" s="9" t="s">
        <v>8</v>
      </c>
      <c r="F13" s="2">
        <v>32</v>
      </c>
      <c r="G13" s="9" t="s">
        <v>44</v>
      </c>
    </row>
    <row r="14" spans="3:7" ht="18" x14ac:dyDescent="0.35">
      <c r="C14" s="2">
        <v>7</v>
      </c>
      <c r="D14" s="9" t="s">
        <v>9</v>
      </c>
      <c r="F14" s="2">
        <v>33</v>
      </c>
      <c r="G14" s="9" t="s">
        <v>34</v>
      </c>
    </row>
    <row r="15" spans="3:7" ht="18" x14ac:dyDescent="0.35">
      <c r="C15" s="2">
        <v>8</v>
      </c>
      <c r="D15" s="9" t="s">
        <v>10</v>
      </c>
      <c r="F15" s="2">
        <v>34</v>
      </c>
      <c r="G15" s="9" t="s">
        <v>35</v>
      </c>
    </row>
    <row r="16" spans="3:7" ht="18" x14ac:dyDescent="0.35">
      <c r="C16" s="2">
        <v>9</v>
      </c>
      <c r="D16" s="9" t="s">
        <v>11</v>
      </c>
      <c r="F16" s="2">
        <v>35</v>
      </c>
      <c r="G16" s="9" t="s">
        <v>38</v>
      </c>
    </row>
    <row r="17" spans="3:7" ht="18" x14ac:dyDescent="0.35">
      <c r="C17" s="2">
        <v>10</v>
      </c>
      <c r="D17" s="9" t="s">
        <v>12</v>
      </c>
      <c r="F17" s="2">
        <v>36</v>
      </c>
      <c r="G17" s="9" t="s">
        <v>45</v>
      </c>
    </row>
    <row r="18" spans="3:7" ht="18" x14ac:dyDescent="0.35">
      <c r="C18" s="2">
        <v>11</v>
      </c>
      <c r="D18" s="9" t="s">
        <v>13</v>
      </c>
      <c r="F18" s="2">
        <v>37</v>
      </c>
      <c r="G18" s="9" t="s">
        <v>36</v>
      </c>
    </row>
    <row r="19" spans="3:7" ht="18" x14ac:dyDescent="0.35">
      <c r="C19" s="2">
        <v>12</v>
      </c>
      <c r="D19" s="9" t="s">
        <v>14</v>
      </c>
      <c r="F19" s="2">
        <v>38</v>
      </c>
      <c r="G19" s="9" t="s">
        <v>40</v>
      </c>
    </row>
    <row r="20" spans="3:7" ht="18" x14ac:dyDescent="0.35">
      <c r="C20" s="2">
        <v>13</v>
      </c>
      <c r="D20" s="9" t="s">
        <v>15</v>
      </c>
      <c r="F20" s="2">
        <v>39</v>
      </c>
      <c r="G20" s="9" t="s">
        <v>39</v>
      </c>
    </row>
    <row r="21" spans="3:7" ht="18" x14ac:dyDescent="0.35">
      <c r="C21" s="2">
        <v>14</v>
      </c>
      <c r="D21" s="9" t="s">
        <v>16</v>
      </c>
      <c r="F21" s="2">
        <v>40</v>
      </c>
      <c r="G21" s="9" t="s">
        <v>46</v>
      </c>
    </row>
    <row r="22" spans="3:7" ht="18" x14ac:dyDescent="0.35">
      <c r="C22" s="2">
        <v>15</v>
      </c>
      <c r="D22" s="9" t="s">
        <v>17</v>
      </c>
      <c r="F22" s="2">
        <v>41</v>
      </c>
      <c r="G22" s="9" t="s">
        <v>103</v>
      </c>
    </row>
    <row r="23" spans="3:7" ht="18" x14ac:dyDescent="0.35">
      <c r="C23" s="2">
        <v>16</v>
      </c>
      <c r="D23" s="9" t="s">
        <v>37</v>
      </c>
      <c r="F23" s="2">
        <v>42</v>
      </c>
      <c r="G23" s="9" t="s">
        <v>104</v>
      </c>
    </row>
    <row r="24" spans="3:7" ht="18" x14ac:dyDescent="0.35">
      <c r="C24" s="2">
        <v>17</v>
      </c>
      <c r="D24" s="9" t="s">
        <v>18</v>
      </c>
      <c r="F24" s="2">
        <v>43</v>
      </c>
      <c r="G24" s="9" t="s">
        <v>105</v>
      </c>
    </row>
    <row r="25" spans="3:7" ht="18" x14ac:dyDescent="0.35">
      <c r="C25" s="2">
        <v>18</v>
      </c>
      <c r="D25" s="9" t="s">
        <v>19</v>
      </c>
      <c r="F25" s="2">
        <v>38</v>
      </c>
      <c r="G25" s="9"/>
    </row>
    <row r="26" spans="3:7" ht="18" x14ac:dyDescent="0.35">
      <c r="C26" s="2">
        <v>19</v>
      </c>
      <c r="D26" s="9" t="s">
        <v>20</v>
      </c>
      <c r="F26" s="2">
        <v>39</v>
      </c>
      <c r="G26" s="9"/>
    </row>
    <row r="27" spans="3:7" ht="18" x14ac:dyDescent="0.35">
      <c r="C27" s="2">
        <v>20</v>
      </c>
      <c r="D27" s="9" t="s">
        <v>21</v>
      </c>
      <c r="F27" s="2">
        <v>40</v>
      </c>
      <c r="G27" s="9"/>
    </row>
    <row r="28" spans="3:7" ht="18" x14ac:dyDescent="0.35">
      <c r="C28" s="2">
        <v>21</v>
      </c>
      <c r="D28" s="9" t="s">
        <v>22</v>
      </c>
      <c r="F28" s="2">
        <v>41</v>
      </c>
      <c r="G28" s="9"/>
    </row>
    <row r="29" spans="3:7" ht="18" x14ac:dyDescent="0.35">
      <c r="C29" s="2">
        <v>22</v>
      </c>
      <c r="D29" s="9" t="s">
        <v>23</v>
      </c>
      <c r="F29" s="2">
        <v>42</v>
      </c>
      <c r="G29" s="9"/>
    </row>
    <row r="30" spans="3:7" ht="18" x14ac:dyDescent="0.35">
      <c r="C30" s="2">
        <v>23</v>
      </c>
      <c r="D30" s="9" t="s">
        <v>24</v>
      </c>
      <c r="F30" s="2">
        <v>43</v>
      </c>
      <c r="G30" s="9"/>
    </row>
    <row r="31" spans="3:7" ht="18" x14ac:dyDescent="0.35">
      <c r="C31" s="2">
        <v>24</v>
      </c>
      <c r="D31" s="9" t="s">
        <v>25</v>
      </c>
      <c r="F31" s="2">
        <v>44</v>
      </c>
      <c r="G31" s="9"/>
    </row>
    <row r="32" spans="3:7" ht="18" x14ac:dyDescent="0.35">
      <c r="C32" s="2">
        <v>25</v>
      </c>
      <c r="D32" s="9" t="s">
        <v>100</v>
      </c>
      <c r="F32" s="2">
        <v>45</v>
      </c>
      <c r="G32" s="9"/>
    </row>
    <row r="33" spans="3:7" ht="18.600000000000001" thickBot="1" x14ac:dyDescent="0.4">
      <c r="C33" s="2">
        <v>26</v>
      </c>
      <c r="D33" s="9" t="s">
        <v>101</v>
      </c>
      <c r="F33" s="31">
        <v>46</v>
      </c>
      <c r="G33" s="32"/>
    </row>
  </sheetData>
  <mergeCells count="1">
    <mergeCell ref="D5:G5"/>
  </mergeCells>
  <pageMargins left="0.7" right="0.7" top="0.75" bottom="0.75" header="0.3" footer="0.3"/>
  <pageSetup paperSize="9" scale="82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3:Y32"/>
  <sheetViews>
    <sheetView topLeftCell="A4" zoomScaleNormal="100" workbookViewId="0">
      <selection activeCell="L18" sqref="L18:N23"/>
    </sheetView>
  </sheetViews>
  <sheetFormatPr baseColWidth="10" defaultRowHeight="14.4" x14ac:dyDescent="0.3"/>
  <cols>
    <col min="1" max="1" width="12" customWidth="1"/>
    <col min="2" max="2" width="18" bestFit="1" customWidth="1"/>
    <col min="4" max="4" width="10.109375" customWidth="1"/>
    <col min="5" max="5" width="9.44140625" customWidth="1"/>
    <col min="8" max="8" width="13.109375" bestFit="1" customWidth="1"/>
    <col min="9" max="10" width="11"/>
    <col min="14" max="15" width="11"/>
    <col min="18" max="20" width="12.5546875" customWidth="1"/>
  </cols>
  <sheetData>
    <row r="3" spans="1:25" x14ac:dyDescent="0.3">
      <c r="C3" s="72"/>
      <c r="D3" s="72"/>
      <c r="E3" s="72"/>
      <c r="F3" s="107" t="s">
        <v>118</v>
      </c>
      <c r="G3" s="107"/>
      <c r="H3" s="107"/>
      <c r="I3" s="107"/>
    </row>
    <row r="4" spans="1:25" x14ac:dyDescent="0.3">
      <c r="C4" s="72"/>
      <c r="D4" s="72"/>
      <c r="E4" s="72"/>
      <c r="F4" s="72"/>
      <c r="G4" s="72"/>
      <c r="H4" s="72"/>
      <c r="I4" s="72"/>
    </row>
    <row r="5" spans="1:25" ht="18" x14ac:dyDescent="0.35">
      <c r="C5" s="72"/>
      <c r="D5" s="72"/>
      <c r="E5" s="72"/>
      <c r="G5" s="73" t="s">
        <v>119</v>
      </c>
      <c r="H5" s="75"/>
      <c r="I5" s="75"/>
      <c r="L5" s="73" t="s">
        <v>157</v>
      </c>
      <c r="M5" s="90"/>
      <c r="N5" s="90"/>
      <c r="O5" s="92"/>
    </row>
    <row r="6" spans="1:25" ht="18" x14ac:dyDescent="0.35">
      <c r="B6" s="72"/>
      <c r="C6" s="72"/>
      <c r="D6" s="72"/>
      <c r="E6" s="72"/>
      <c r="G6" s="73" t="s">
        <v>120</v>
      </c>
      <c r="H6" s="71"/>
      <c r="I6" s="71"/>
      <c r="L6" s="73" t="s">
        <v>156</v>
      </c>
      <c r="M6" s="90"/>
      <c r="N6" s="90"/>
      <c r="O6" s="92"/>
      <c r="Q6" s="94"/>
    </row>
    <row r="7" spans="1:25" ht="18" x14ac:dyDescent="0.3">
      <c r="A7" s="72" t="s">
        <v>122</v>
      </c>
      <c r="B7" t="s">
        <v>130</v>
      </c>
      <c r="C7" s="72"/>
      <c r="G7" s="73" t="s">
        <v>121</v>
      </c>
      <c r="H7" s="71"/>
      <c r="I7" s="71"/>
      <c r="L7" s="72"/>
      <c r="O7" s="93"/>
    </row>
    <row r="9" spans="1:25" ht="43.2" x14ac:dyDescent="0.3">
      <c r="A9" s="117" t="s">
        <v>50</v>
      </c>
      <c r="B9" s="113" t="s">
        <v>155</v>
      </c>
      <c r="C9" s="114"/>
      <c r="D9" s="115"/>
      <c r="E9" s="86" t="s">
        <v>154</v>
      </c>
      <c r="F9" s="117" t="s">
        <v>50</v>
      </c>
      <c r="G9" s="113" t="s">
        <v>155</v>
      </c>
      <c r="H9" s="114"/>
      <c r="I9" s="115"/>
      <c r="J9" s="86" t="s">
        <v>154</v>
      </c>
      <c r="K9" s="117" t="s">
        <v>50</v>
      </c>
      <c r="L9" s="113" t="s">
        <v>155</v>
      </c>
      <c r="M9" s="114"/>
      <c r="N9" s="115"/>
      <c r="O9" s="86" t="s">
        <v>154</v>
      </c>
      <c r="P9" s="117" t="s">
        <v>50</v>
      </c>
      <c r="Q9" s="113" t="s">
        <v>155</v>
      </c>
      <c r="R9" s="114"/>
      <c r="S9" s="115"/>
      <c r="T9" s="86" t="s">
        <v>154</v>
      </c>
      <c r="U9" s="117" t="s">
        <v>50</v>
      </c>
      <c r="V9" s="113" t="s">
        <v>155</v>
      </c>
      <c r="W9" s="114"/>
      <c r="X9" s="115"/>
      <c r="Y9" s="89" t="s">
        <v>154</v>
      </c>
    </row>
    <row r="10" spans="1:25" x14ac:dyDescent="0.3">
      <c r="A10" s="117"/>
      <c r="B10" s="74" t="s">
        <v>135</v>
      </c>
      <c r="C10" s="74" t="s">
        <v>136</v>
      </c>
      <c r="D10" s="74" t="s">
        <v>137</v>
      </c>
      <c r="E10" s="87" t="s">
        <v>137</v>
      </c>
      <c r="F10" s="117"/>
      <c r="G10" s="74" t="s">
        <v>135</v>
      </c>
      <c r="H10" s="74" t="s">
        <v>136</v>
      </c>
      <c r="I10" s="74" t="s">
        <v>137</v>
      </c>
      <c r="J10" s="87" t="s">
        <v>137</v>
      </c>
      <c r="K10" s="117"/>
      <c r="L10" s="74" t="s">
        <v>135</v>
      </c>
      <c r="M10" s="74" t="s">
        <v>136</v>
      </c>
      <c r="N10" s="74" t="s">
        <v>137</v>
      </c>
      <c r="O10" s="87" t="s">
        <v>137</v>
      </c>
      <c r="P10" s="117"/>
      <c r="Q10" s="74" t="s">
        <v>135</v>
      </c>
      <c r="R10" s="74" t="s">
        <v>136</v>
      </c>
      <c r="S10" s="74" t="s">
        <v>137</v>
      </c>
      <c r="T10" s="87" t="s">
        <v>137</v>
      </c>
      <c r="U10" s="117"/>
      <c r="V10" s="74" t="s">
        <v>135</v>
      </c>
      <c r="W10" s="74" t="s">
        <v>136</v>
      </c>
      <c r="X10" s="74" t="s">
        <v>137</v>
      </c>
      <c r="Y10" s="87" t="s">
        <v>137</v>
      </c>
    </row>
    <row r="11" spans="1:25" x14ac:dyDescent="0.3">
      <c r="A11" s="74" t="s">
        <v>179</v>
      </c>
      <c r="B11" s="85"/>
      <c r="C11" s="85"/>
      <c r="D11" s="85" t="str">
        <f>+IF((C11-B11)&gt;0,(C11-B11),"")</f>
        <v/>
      </c>
      <c r="E11" s="88" t="str">
        <f>+IFERROR(IF((D11*$O$7)&gt;0,(D11*$O$7),""),"")</f>
        <v/>
      </c>
      <c r="F11" s="74" t="s">
        <v>189</v>
      </c>
      <c r="G11" s="85"/>
      <c r="H11" s="85"/>
      <c r="I11" s="85" t="str">
        <f t="shared" ref="I11:I22" si="0">+IF((H11-G11)&gt;0,(H11-G11),"")</f>
        <v/>
      </c>
      <c r="J11" s="88" t="str">
        <f>+IFERROR(IF((I11*$O$7)&gt;0,(I11*$O$7),""),"")</f>
        <v/>
      </c>
      <c r="K11" s="74" t="s">
        <v>123</v>
      </c>
      <c r="L11" s="85"/>
      <c r="M11" s="85"/>
      <c r="N11" s="85" t="str">
        <f>+IF((M11-L11)&gt;0,(M11-L11),"")</f>
        <v/>
      </c>
      <c r="O11" s="88" t="str">
        <f>+IFERROR(IF((N11*$O$7)&gt;0,(N11*$O$7),""),"")</f>
        <v/>
      </c>
      <c r="P11" s="74">
        <v>1</v>
      </c>
      <c r="Q11" s="85"/>
      <c r="R11" s="85"/>
      <c r="S11" s="85" t="str">
        <f>+IF((R11-Q11)&gt;0,(R11-Q11),"")</f>
        <v/>
      </c>
      <c r="T11" s="88" t="str">
        <f>+IFERROR(IF((S11*$O$7)&gt;0,(S11*$O$7),""),"")</f>
        <v/>
      </c>
      <c r="U11" s="74">
        <v>15</v>
      </c>
      <c r="V11" s="85"/>
      <c r="W11" s="85"/>
      <c r="X11" s="85" t="str">
        <f>+IF((W11-V11)&gt;0,(W11-V11),"")</f>
        <v/>
      </c>
      <c r="Y11" s="88" t="str">
        <f>+IFERROR(IF((X11*$O$7)&gt;0,(X11*$O$7),""),"")</f>
        <v/>
      </c>
    </row>
    <row r="12" spans="1:25" x14ac:dyDescent="0.3">
      <c r="A12" s="74" t="s">
        <v>180</v>
      </c>
      <c r="B12" s="85"/>
      <c r="C12" s="85"/>
      <c r="D12" s="85" t="str">
        <f>+IF((C12-B12)&gt;0,(C12-B12),"")</f>
        <v/>
      </c>
      <c r="E12" s="88" t="str">
        <f>+IFERROR(IF((D12*$O$7)&gt;0,(D12*$O$7),""),"")</f>
        <v/>
      </c>
      <c r="F12" s="74" t="s">
        <v>190</v>
      </c>
      <c r="G12" s="85"/>
      <c r="H12" s="85"/>
      <c r="I12" s="85" t="str">
        <f t="shared" si="0"/>
        <v/>
      </c>
      <c r="J12" s="88" t="str">
        <f>+IFERROR(IF((I12*$O$7)&gt;0,(I12*$O$7),""),"")</f>
        <v/>
      </c>
      <c r="K12" s="74" t="s">
        <v>124</v>
      </c>
      <c r="L12" s="85"/>
      <c r="M12" s="85"/>
      <c r="N12" s="85" t="str">
        <f t="shared" ref="N12:N22" si="1">+IF((M12-L12)&gt;0,(M12-L12),"")</f>
        <v/>
      </c>
      <c r="O12" s="88" t="str">
        <f>+IFERROR(IF((N12*$O$7)&gt;0,(N12*$O$7),""),"")</f>
        <v/>
      </c>
      <c r="P12" s="74">
        <v>2</v>
      </c>
      <c r="Q12" s="85"/>
      <c r="R12" s="85"/>
      <c r="S12" s="85" t="str">
        <f t="shared" ref="S12:S22" si="2">+IF((R12-Q12)&gt;0,(R12-Q12),"")</f>
        <v/>
      </c>
      <c r="T12" s="88" t="str">
        <f>+IFERROR(IF((S12*$O$7)&gt;0,(S12*$O$7),""),"")</f>
        <v/>
      </c>
      <c r="U12" s="74">
        <v>16</v>
      </c>
      <c r="V12" s="85"/>
      <c r="W12" s="85"/>
      <c r="X12" s="85" t="str">
        <f t="shared" ref="X12:X22" si="3">+IF((W12-V12)&gt;0,(W12-V12),"")</f>
        <v/>
      </c>
      <c r="Y12" s="88" t="str">
        <f>+IFERROR(IF((X12*$O$7)&gt;0,(X12*$O$7),""),"")</f>
        <v/>
      </c>
    </row>
    <row r="13" spans="1:25" x14ac:dyDescent="0.3">
      <c r="A13" s="74" t="s">
        <v>181</v>
      </c>
      <c r="B13" s="85"/>
      <c r="C13" s="85"/>
      <c r="D13" s="85" t="str">
        <f t="shared" ref="D13:D22" si="4">+IF((C13-B13)&gt;0,(C13-B13),"")</f>
        <v/>
      </c>
      <c r="E13" s="88" t="str">
        <f t="shared" ref="E13:E22" si="5">+IFERROR(IF((D13*$O$7)&gt;0,(D13*$O$7),""),"")</f>
        <v/>
      </c>
      <c r="F13" s="74" t="s">
        <v>191</v>
      </c>
      <c r="G13" s="85"/>
      <c r="H13" s="85"/>
      <c r="I13" s="85" t="str">
        <f t="shared" si="0"/>
        <v/>
      </c>
      <c r="J13" s="88" t="str">
        <f t="shared" ref="J13:J21" si="6">+IFERROR(IF((I13*$O$7)&gt;0,(I13*$O$7),""),"")</f>
        <v/>
      </c>
      <c r="K13" s="74" t="s">
        <v>199</v>
      </c>
      <c r="L13" s="77"/>
      <c r="M13" s="85"/>
      <c r="N13" s="85" t="str">
        <f t="shared" si="1"/>
        <v/>
      </c>
      <c r="O13" s="88" t="str">
        <f t="shared" ref="O13:O21" si="7">+IFERROR(IF((N13*$O$7)&gt;0,(N13*$O$7),""),"")</f>
        <v/>
      </c>
      <c r="P13" s="74">
        <v>3</v>
      </c>
      <c r="Q13" s="85"/>
      <c r="R13" s="85"/>
      <c r="S13" s="85" t="str">
        <f t="shared" si="2"/>
        <v/>
      </c>
      <c r="T13" s="88" t="str">
        <f t="shared" ref="T13:T21" si="8">+IFERROR(IF((S13*$O$7)&gt;0,(S13*$O$7),""),"")</f>
        <v/>
      </c>
      <c r="U13" s="74">
        <v>17</v>
      </c>
      <c r="V13" s="85"/>
      <c r="W13" s="85"/>
      <c r="X13" s="85" t="str">
        <f t="shared" si="3"/>
        <v/>
      </c>
      <c r="Y13" s="88" t="str">
        <f t="shared" ref="Y13:Y21" si="9">+IFERROR(IF((X13*$O$7)&gt;0,(X13*$O$7),""),"")</f>
        <v/>
      </c>
    </row>
    <row r="14" spans="1:25" x14ac:dyDescent="0.3">
      <c r="A14" s="74" t="s">
        <v>182</v>
      </c>
      <c r="B14" s="85"/>
      <c r="C14" s="85"/>
      <c r="D14" s="85" t="str">
        <f t="shared" si="4"/>
        <v/>
      </c>
      <c r="E14" s="88" t="str">
        <f t="shared" si="5"/>
        <v/>
      </c>
      <c r="F14" s="74" t="s">
        <v>192</v>
      </c>
      <c r="G14" s="85"/>
      <c r="H14" s="85"/>
      <c r="I14" s="85" t="str">
        <f t="shared" si="0"/>
        <v/>
      </c>
      <c r="J14" s="88" t="str">
        <f t="shared" si="6"/>
        <v/>
      </c>
      <c r="K14" s="74" t="s">
        <v>200</v>
      </c>
      <c r="L14" s="77"/>
      <c r="M14" s="77"/>
      <c r="N14" s="85" t="str">
        <f t="shared" si="1"/>
        <v/>
      </c>
      <c r="O14" s="88" t="str">
        <f t="shared" si="7"/>
        <v/>
      </c>
      <c r="P14" s="74">
        <v>4</v>
      </c>
      <c r="Q14" s="85"/>
      <c r="R14" s="85"/>
      <c r="S14" s="85" t="str">
        <f t="shared" si="2"/>
        <v/>
      </c>
      <c r="T14" s="88" t="str">
        <f t="shared" si="8"/>
        <v/>
      </c>
      <c r="U14" s="74">
        <v>18</v>
      </c>
      <c r="V14" s="85"/>
      <c r="W14" s="85"/>
      <c r="X14" s="85" t="str">
        <f t="shared" si="3"/>
        <v/>
      </c>
      <c r="Y14" s="88" t="str">
        <f t="shared" si="9"/>
        <v/>
      </c>
    </row>
    <row r="15" spans="1:25" x14ac:dyDescent="0.3">
      <c r="A15" s="74" t="s">
        <v>183</v>
      </c>
      <c r="B15" s="77"/>
      <c r="C15" s="77"/>
      <c r="D15" s="85"/>
      <c r="E15" s="88" t="str">
        <f t="shared" si="5"/>
        <v/>
      </c>
      <c r="F15" s="74" t="s">
        <v>193</v>
      </c>
      <c r="G15" s="85"/>
      <c r="H15" s="85"/>
      <c r="I15" s="85" t="str">
        <f t="shared" si="0"/>
        <v/>
      </c>
      <c r="J15" s="88" t="str">
        <f t="shared" si="6"/>
        <v/>
      </c>
      <c r="K15" s="74" t="s">
        <v>201</v>
      </c>
      <c r="L15" s="77"/>
      <c r="M15" s="85"/>
      <c r="N15" s="85" t="str">
        <f t="shared" si="1"/>
        <v/>
      </c>
      <c r="O15" s="88" t="str">
        <f t="shared" si="7"/>
        <v/>
      </c>
      <c r="P15" s="74">
        <v>8</v>
      </c>
      <c r="Q15" s="85"/>
      <c r="R15" s="85"/>
      <c r="S15" s="85" t="str">
        <f t="shared" si="2"/>
        <v/>
      </c>
      <c r="T15" s="88" t="str">
        <f t="shared" si="8"/>
        <v/>
      </c>
      <c r="U15" s="74">
        <v>19</v>
      </c>
      <c r="V15" s="85"/>
      <c r="W15" s="85"/>
      <c r="X15" s="85" t="str">
        <f t="shared" si="3"/>
        <v/>
      </c>
      <c r="Y15" s="88" t="str">
        <f t="shared" si="9"/>
        <v/>
      </c>
    </row>
    <row r="16" spans="1:25" x14ac:dyDescent="0.3">
      <c r="A16" s="74" t="s">
        <v>171</v>
      </c>
      <c r="B16" s="77"/>
      <c r="C16" s="77"/>
      <c r="D16" s="85"/>
      <c r="E16" s="88" t="str">
        <f t="shared" si="5"/>
        <v/>
      </c>
      <c r="F16" s="74" t="s">
        <v>194</v>
      </c>
      <c r="G16" s="85"/>
      <c r="H16" s="85"/>
      <c r="I16" s="85" t="str">
        <f t="shared" si="0"/>
        <v/>
      </c>
      <c r="J16" s="88" t="str">
        <f t="shared" si="6"/>
        <v/>
      </c>
      <c r="K16" s="74" t="s">
        <v>175</v>
      </c>
      <c r="L16" s="77"/>
      <c r="M16" s="77"/>
      <c r="N16" s="85" t="str">
        <f t="shared" si="1"/>
        <v/>
      </c>
      <c r="O16" s="88" t="str">
        <f t="shared" si="7"/>
        <v/>
      </c>
      <c r="P16" s="74">
        <v>9</v>
      </c>
      <c r="Q16" s="85"/>
      <c r="R16" s="85"/>
      <c r="S16" s="85" t="str">
        <f t="shared" si="2"/>
        <v/>
      </c>
      <c r="T16" s="88" t="str">
        <f t="shared" si="8"/>
        <v/>
      </c>
      <c r="U16" s="74">
        <v>20</v>
      </c>
      <c r="V16" s="85"/>
      <c r="W16" s="85"/>
      <c r="X16" s="85" t="str">
        <f t="shared" si="3"/>
        <v/>
      </c>
      <c r="Y16" s="88" t="str">
        <f t="shared" si="9"/>
        <v/>
      </c>
    </row>
    <row r="17" spans="1:25" x14ac:dyDescent="0.3">
      <c r="A17" s="74" t="s">
        <v>184</v>
      </c>
      <c r="B17" s="77"/>
      <c r="C17" s="77"/>
      <c r="D17" s="85"/>
      <c r="E17" s="88" t="str">
        <f t="shared" si="5"/>
        <v/>
      </c>
      <c r="F17" s="74" t="s">
        <v>195</v>
      </c>
      <c r="G17" s="85"/>
      <c r="H17" s="85"/>
      <c r="I17" s="85"/>
      <c r="J17" s="88" t="str">
        <f t="shared" si="6"/>
        <v/>
      </c>
      <c r="K17" s="74" t="s">
        <v>131</v>
      </c>
      <c r="L17" s="77"/>
      <c r="M17" s="77"/>
      <c r="N17" s="85" t="str">
        <f t="shared" si="1"/>
        <v/>
      </c>
      <c r="O17" s="88" t="str">
        <f t="shared" si="7"/>
        <v/>
      </c>
      <c r="P17" s="74">
        <v>10</v>
      </c>
      <c r="Q17" s="85"/>
      <c r="R17" s="85"/>
      <c r="S17" s="85" t="str">
        <f t="shared" si="2"/>
        <v/>
      </c>
      <c r="T17" s="88" t="str">
        <f t="shared" si="8"/>
        <v/>
      </c>
      <c r="U17" s="74">
        <v>21</v>
      </c>
      <c r="V17" s="85"/>
      <c r="W17" s="85"/>
      <c r="X17" s="85" t="str">
        <f t="shared" si="3"/>
        <v/>
      </c>
      <c r="Y17" s="88" t="str">
        <f t="shared" si="9"/>
        <v/>
      </c>
    </row>
    <row r="18" spans="1:25" x14ac:dyDescent="0.3">
      <c r="A18" s="74" t="s">
        <v>185</v>
      </c>
      <c r="B18" s="77"/>
      <c r="C18" s="77"/>
      <c r="D18" s="85"/>
      <c r="E18" s="88" t="str">
        <f t="shared" si="5"/>
        <v/>
      </c>
      <c r="F18" s="74" t="s">
        <v>173</v>
      </c>
      <c r="G18" s="85"/>
      <c r="H18" s="85"/>
      <c r="I18" s="85"/>
      <c r="J18" s="88" t="str">
        <f t="shared" si="6"/>
        <v/>
      </c>
      <c r="K18" s="74" t="s">
        <v>132</v>
      </c>
      <c r="L18" s="77"/>
      <c r="M18" s="77"/>
      <c r="N18" s="85"/>
      <c r="O18" s="88" t="str">
        <f t="shared" si="7"/>
        <v/>
      </c>
      <c r="P18" s="74">
        <v>11</v>
      </c>
      <c r="Q18" s="85"/>
      <c r="R18" s="85"/>
      <c r="S18" s="85" t="str">
        <f t="shared" si="2"/>
        <v/>
      </c>
      <c r="T18" s="88" t="str">
        <f t="shared" si="8"/>
        <v/>
      </c>
      <c r="U18" s="74">
        <v>22</v>
      </c>
      <c r="V18" s="85"/>
      <c r="W18" s="85"/>
      <c r="X18" s="85" t="str">
        <f t="shared" si="3"/>
        <v/>
      </c>
      <c r="Y18" s="88" t="str">
        <f t="shared" si="9"/>
        <v/>
      </c>
    </row>
    <row r="19" spans="1:25" x14ac:dyDescent="0.3">
      <c r="A19" s="74" t="s">
        <v>186</v>
      </c>
      <c r="B19" s="77"/>
      <c r="C19" s="77"/>
      <c r="D19" s="85"/>
      <c r="E19" s="88" t="str">
        <f t="shared" si="5"/>
        <v/>
      </c>
      <c r="F19" s="74" t="s">
        <v>196</v>
      </c>
      <c r="G19" s="85"/>
      <c r="H19" s="85"/>
      <c r="I19" s="85"/>
      <c r="J19" s="88" t="str">
        <f t="shared" si="6"/>
        <v/>
      </c>
      <c r="K19" s="74" t="s">
        <v>172</v>
      </c>
      <c r="L19" s="77"/>
      <c r="M19" s="77"/>
      <c r="N19" s="85"/>
      <c r="O19" s="88" t="str">
        <f t="shared" si="7"/>
        <v/>
      </c>
      <c r="P19" s="74">
        <v>12</v>
      </c>
      <c r="Q19" s="85"/>
      <c r="R19" s="85"/>
      <c r="S19" s="85" t="str">
        <f t="shared" si="2"/>
        <v/>
      </c>
      <c r="T19" s="88" t="str">
        <f t="shared" si="8"/>
        <v/>
      </c>
      <c r="U19" s="74" t="s">
        <v>203</v>
      </c>
      <c r="V19" s="85"/>
      <c r="W19" s="85"/>
      <c r="X19" s="85" t="str">
        <f t="shared" si="3"/>
        <v/>
      </c>
      <c r="Y19" s="88" t="str">
        <f t="shared" si="9"/>
        <v/>
      </c>
    </row>
    <row r="20" spans="1:25" x14ac:dyDescent="0.3">
      <c r="A20" s="74" t="s">
        <v>187</v>
      </c>
      <c r="B20" s="77"/>
      <c r="C20" s="77"/>
      <c r="D20" s="85"/>
      <c r="E20" s="88" t="str">
        <f t="shared" si="5"/>
        <v/>
      </c>
      <c r="F20" s="74" t="s">
        <v>197</v>
      </c>
      <c r="G20" s="85"/>
      <c r="H20" s="85"/>
      <c r="I20" s="85"/>
      <c r="J20" s="88" t="str">
        <f t="shared" si="6"/>
        <v/>
      </c>
      <c r="K20" s="74" t="s">
        <v>174</v>
      </c>
      <c r="L20" s="77"/>
      <c r="M20" s="77"/>
      <c r="N20" s="85"/>
      <c r="O20" s="88" t="str">
        <f t="shared" si="7"/>
        <v/>
      </c>
      <c r="P20" s="74">
        <v>13</v>
      </c>
      <c r="Q20" s="85"/>
      <c r="R20" s="85"/>
      <c r="S20" s="85" t="str">
        <f t="shared" si="2"/>
        <v/>
      </c>
      <c r="T20" s="88" t="str">
        <f t="shared" si="8"/>
        <v/>
      </c>
      <c r="U20" s="74" t="s">
        <v>205</v>
      </c>
      <c r="V20" s="85"/>
      <c r="W20" s="85"/>
      <c r="X20" s="85" t="str">
        <f t="shared" si="3"/>
        <v/>
      </c>
      <c r="Y20" s="88" t="str">
        <f t="shared" si="9"/>
        <v/>
      </c>
    </row>
    <row r="21" spans="1:25" x14ac:dyDescent="0.3">
      <c r="A21" s="74" t="s">
        <v>188</v>
      </c>
      <c r="B21" s="85"/>
      <c r="C21" s="85"/>
      <c r="D21" s="85"/>
      <c r="E21" s="88" t="str">
        <f t="shared" si="5"/>
        <v/>
      </c>
      <c r="F21" s="74" t="s">
        <v>198</v>
      </c>
      <c r="G21" s="85"/>
      <c r="H21" s="85"/>
      <c r="I21" s="85"/>
      <c r="J21" s="88" t="str">
        <f t="shared" si="6"/>
        <v/>
      </c>
      <c r="K21" s="74" t="s">
        <v>163</v>
      </c>
      <c r="L21" s="77"/>
      <c r="M21" s="85"/>
      <c r="N21" s="85"/>
      <c r="O21" s="88" t="str">
        <f t="shared" si="7"/>
        <v/>
      </c>
      <c r="P21" s="74">
        <v>14</v>
      </c>
      <c r="Q21" s="85"/>
      <c r="R21" s="85"/>
      <c r="S21" s="85" t="str">
        <f t="shared" si="2"/>
        <v/>
      </c>
      <c r="T21" s="88" t="str">
        <f t="shared" si="8"/>
        <v/>
      </c>
      <c r="U21" s="74" t="s">
        <v>204</v>
      </c>
      <c r="V21" s="85"/>
      <c r="W21" s="85"/>
      <c r="X21" s="85" t="str">
        <f t="shared" si="3"/>
        <v/>
      </c>
      <c r="Y21" s="88" t="str">
        <f t="shared" si="9"/>
        <v/>
      </c>
    </row>
    <row r="22" spans="1:25" x14ac:dyDescent="0.3">
      <c r="A22" s="74" t="s">
        <v>134</v>
      </c>
      <c r="B22" s="85"/>
      <c r="C22" s="77"/>
      <c r="D22" s="85"/>
      <c r="E22" s="88" t="str">
        <f t="shared" si="5"/>
        <v/>
      </c>
      <c r="F22" s="74" t="s">
        <v>134</v>
      </c>
      <c r="G22" s="77"/>
      <c r="H22" s="77"/>
      <c r="I22" s="85"/>
      <c r="J22" s="88" t="str">
        <f>+IFERROR(IF((I22*#REF!)&gt;0,(I22*#REF!),""),"")</f>
        <v/>
      </c>
      <c r="K22" s="74" t="s">
        <v>134</v>
      </c>
      <c r="L22" s="77"/>
      <c r="M22" s="77"/>
      <c r="N22" s="77"/>
      <c r="O22" s="88" t="str">
        <f>+IFERROR(IF((N22*#REF!)&gt;0,(N22*#REF!),""),"")</f>
        <v/>
      </c>
      <c r="P22" s="74" t="s">
        <v>134</v>
      </c>
      <c r="Q22" s="77"/>
      <c r="R22" s="77"/>
      <c r="S22" s="77" t="str">
        <f t="shared" si="2"/>
        <v/>
      </c>
      <c r="T22" s="88" t="str">
        <f>+IFERROR(IF((S22*#REF!)&gt;0,(S22*#REF!),""),"")</f>
        <v/>
      </c>
      <c r="U22" s="74" t="s">
        <v>134</v>
      </c>
      <c r="V22" s="77"/>
      <c r="W22" s="77"/>
      <c r="X22" s="77" t="str">
        <f t="shared" si="3"/>
        <v/>
      </c>
      <c r="Y22" s="88" t="str">
        <f>+IFERROR(IF((X22*#REF!)&gt;0,(X22*#REF!),""),"")</f>
        <v/>
      </c>
    </row>
    <row r="23" spans="1:25" x14ac:dyDescent="0.3">
      <c r="A23" s="74"/>
      <c r="B23" s="76"/>
      <c r="C23" s="76"/>
      <c r="D23" s="85"/>
      <c r="E23" s="88">
        <f>SUM(E11:E22)</f>
        <v>0</v>
      </c>
      <c r="F23" s="74"/>
      <c r="G23" s="85"/>
      <c r="H23" s="85"/>
      <c r="I23" s="85"/>
      <c r="J23" s="88">
        <f>SUM(J11:J22)</f>
        <v>0</v>
      </c>
      <c r="K23" s="74" t="s">
        <v>202</v>
      </c>
      <c r="L23" s="85"/>
      <c r="M23" s="85"/>
      <c r="N23" s="85"/>
      <c r="O23" s="88">
        <f>SUM(O11:O22)</f>
        <v>0</v>
      </c>
      <c r="P23" s="74"/>
      <c r="Q23" s="85"/>
      <c r="R23" s="85"/>
      <c r="S23" s="85">
        <f>SUM(S11:S22)</f>
        <v>0</v>
      </c>
      <c r="T23" s="88">
        <f>SUM(T11:T22)</f>
        <v>0</v>
      </c>
      <c r="U23" s="74"/>
      <c r="V23" s="85"/>
      <c r="W23" s="85"/>
      <c r="X23" s="85">
        <f>SUM(X11:X22)</f>
        <v>0</v>
      </c>
      <c r="Y23" s="88">
        <f>SUM(Y11:Y22)</f>
        <v>0</v>
      </c>
    </row>
    <row r="24" spans="1:25" x14ac:dyDescent="0.3">
      <c r="A24" s="116" t="s">
        <v>125</v>
      </c>
      <c r="B24" s="116"/>
      <c r="C24" s="103" t="s">
        <v>178</v>
      </c>
      <c r="D24" s="103"/>
      <c r="E24" s="105"/>
      <c r="F24" s="104"/>
      <c r="G24" s="105"/>
      <c r="H24" s="105"/>
      <c r="I24" s="105"/>
      <c r="J24" s="105"/>
      <c r="K24" s="104"/>
      <c r="L24" s="101"/>
      <c r="M24" s="91"/>
      <c r="N24" s="91"/>
      <c r="O24" s="91"/>
      <c r="P24" s="3"/>
      <c r="Q24" s="91"/>
      <c r="R24" s="91"/>
      <c r="S24" s="91"/>
      <c r="T24" s="91"/>
      <c r="U24" s="3"/>
      <c r="V24" s="91"/>
      <c r="W24" s="91"/>
      <c r="X24" s="91"/>
      <c r="Y24" s="91"/>
    </row>
    <row r="25" spans="1:25" x14ac:dyDescent="0.3">
      <c r="C25" s="72"/>
      <c r="F25" s="3"/>
      <c r="Q25" s="91"/>
      <c r="R25" s="91"/>
      <c r="S25" s="91"/>
      <c r="T25" s="91"/>
      <c r="U25" s="3"/>
      <c r="V25" s="91"/>
      <c r="W25" s="91"/>
      <c r="X25" s="91"/>
      <c r="Y25" s="91"/>
    </row>
    <row r="26" spans="1:25" ht="15" customHeight="1" x14ac:dyDescent="0.3">
      <c r="F26" s="3"/>
      <c r="Q26" s="71"/>
      <c r="R26" s="71"/>
      <c r="S26" s="71"/>
      <c r="T26" s="71"/>
    </row>
    <row r="27" spans="1:25" ht="15.6" x14ac:dyDescent="0.3">
      <c r="C27" s="102"/>
      <c r="F27" s="3"/>
      <c r="Q27" s="71"/>
      <c r="R27" s="71"/>
      <c r="S27" s="71"/>
      <c r="T27" s="71"/>
    </row>
    <row r="28" spans="1:25" x14ac:dyDescent="0.3">
      <c r="A28" s="3"/>
      <c r="B28" s="3"/>
      <c r="F28" s="3"/>
      <c r="Q28" s="71"/>
      <c r="R28" s="71"/>
      <c r="S28" s="71"/>
      <c r="T28" s="71"/>
    </row>
    <row r="29" spans="1:25" x14ac:dyDescent="0.3">
      <c r="C29" s="72"/>
    </row>
    <row r="30" spans="1:25" x14ac:dyDescent="0.3">
      <c r="C30" s="72"/>
    </row>
    <row r="31" spans="1:25" x14ac:dyDescent="0.3">
      <c r="C31" s="72"/>
    </row>
    <row r="32" spans="1:25" x14ac:dyDescent="0.3">
      <c r="C32" s="72"/>
    </row>
  </sheetData>
  <mergeCells count="12">
    <mergeCell ref="L9:N9"/>
    <mergeCell ref="Q9:S9"/>
    <mergeCell ref="V9:X9"/>
    <mergeCell ref="K9:K10"/>
    <mergeCell ref="P9:P10"/>
    <mergeCell ref="U9:U10"/>
    <mergeCell ref="F3:I3"/>
    <mergeCell ref="A9:A10"/>
    <mergeCell ref="F9:F10"/>
    <mergeCell ref="B9:D9"/>
    <mergeCell ref="G9:I9"/>
    <mergeCell ref="A24:B24"/>
  </mergeCells>
  <phoneticPr fontId="20" type="noConversion"/>
  <pageMargins left="0.7" right="0.7" top="0.75" bottom="0.75" header="0.3" footer="0.3"/>
  <pageSetup orientation="portrait" horizontalDpi="4294967292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90FE9-51D4-4AC0-9473-F7BD3FF79441}">
  <dimension ref="A1:AE29"/>
  <sheetViews>
    <sheetView tabSelected="1" workbookViewId="0">
      <selection activeCell="AE7" sqref="AE7:AE8"/>
    </sheetView>
  </sheetViews>
  <sheetFormatPr baseColWidth="10" defaultColWidth="11.44140625" defaultRowHeight="14.4" x14ac:dyDescent="0.3"/>
  <cols>
    <col min="1" max="1" width="5.109375" style="136" customWidth="1"/>
    <col min="2" max="2" width="33.33203125" style="128" bestFit="1" customWidth="1"/>
    <col min="3" max="4" width="9.77734375" style="163" customWidth="1"/>
    <col min="5" max="6" width="9.77734375" style="164" customWidth="1"/>
    <col min="7" max="8" width="9.77734375" style="158" customWidth="1"/>
    <col min="9" max="10" width="9.77734375" style="159" customWidth="1"/>
    <col min="11" max="12" width="9.77734375" style="163" customWidth="1"/>
    <col min="13" max="14" width="9.77734375" style="164" customWidth="1"/>
    <col min="15" max="16" width="9.77734375" style="128" customWidth="1"/>
    <col min="17" max="18" width="9.77734375" style="151" customWidth="1"/>
    <col min="19" max="20" width="9.77734375" style="163" customWidth="1"/>
    <col min="21" max="22" width="9.77734375" style="164" customWidth="1"/>
    <col min="23" max="24" width="9.77734375" style="151" customWidth="1"/>
    <col min="25" max="26" width="9.77734375" style="129" customWidth="1"/>
    <col min="27" max="28" width="9.77734375" style="163" customWidth="1"/>
    <col min="29" max="30" width="9.77734375" style="164" customWidth="1"/>
    <col min="31" max="31" width="9.77734375" style="128" customWidth="1"/>
    <col min="32" max="16384" width="11.44140625" style="128"/>
  </cols>
  <sheetData>
    <row r="1" spans="1:31" x14ac:dyDescent="0.3">
      <c r="A1" s="174"/>
      <c r="B1" s="157"/>
      <c r="C1" s="157"/>
      <c r="D1" s="157"/>
      <c r="E1" s="151"/>
      <c r="F1" s="151"/>
      <c r="G1" s="157"/>
      <c r="H1" s="157"/>
      <c r="I1" s="151"/>
      <c r="J1" s="151"/>
      <c r="K1" s="157"/>
      <c r="L1" s="157"/>
      <c r="M1" s="151"/>
      <c r="N1" s="151"/>
      <c r="O1" s="157"/>
      <c r="P1" s="157"/>
      <c r="S1" s="157"/>
      <c r="T1" s="157"/>
      <c r="U1" s="151"/>
      <c r="V1" s="151"/>
      <c r="Y1" s="151"/>
      <c r="Z1" s="151"/>
      <c r="AA1" s="157"/>
      <c r="AB1" s="157"/>
      <c r="AC1" s="151"/>
      <c r="AD1" s="151"/>
    </row>
    <row r="2" spans="1:31" ht="27" customHeight="1" x14ac:dyDescent="0.45">
      <c r="A2" s="179" t="s">
        <v>206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5" t="s">
        <v>49</v>
      </c>
      <c r="AE2" s="176"/>
    </row>
    <row r="3" spans="1:31" ht="20.25" customHeight="1" x14ac:dyDescent="0.3">
      <c r="A3" s="180">
        <v>45449</v>
      </c>
      <c r="B3" s="180"/>
      <c r="C3" s="180"/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80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  <c r="AD3" s="177"/>
    </row>
    <row r="4" spans="1:31" ht="20.25" customHeight="1" x14ac:dyDescent="0.3">
      <c r="A4" s="180" t="s">
        <v>177</v>
      </c>
      <c r="B4" s="180"/>
      <c r="C4" s="180"/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180"/>
      <c r="Y4" s="180"/>
      <c r="Z4" s="180"/>
      <c r="AA4" s="180"/>
      <c r="AB4" s="180"/>
      <c r="AC4" s="180"/>
      <c r="AD4" s="178"/>
    </row>
    <row r="5" spans="1:31" x14ac:dyDescent="0.3">
      <c r="A5" s="174"/>
      <c r="B5" s="157"/>
      <c r="C5" s="157"/>
      <c r="D5" s="157"/>
      <c r="E5" s="151"/>
      <c r="F5" s="151"/>
      <c r="G5" s="157"/>
      <c r="H5" s="157"/>
      <c r="I5" s="151"/>
      <c r="J5" s="151"/>
      <c r="K5" s="157"/>
      <c r="L5" s="157"/>
      <c r="M5" s="151"/>
      <c r="N5" s="151"/>
      <c r="O5" s="157"/>
      <c r="P5" s="157"/>
      <c r="S5" s="157"/>
      <c r="T5" s="157"/>
      <c r="U5" s="151"/>
      <c r="V5" s="151"/>
      <c r="Y5" s="151"/>
      <c r="Z5" s="151"/>
      <c r="AA5" s="157"/>
      <c r="AB5" s="157"/>
      <c r="AC5" s="151"/>
      <c r="AD5" s="151"/>
    </row>
    <row r="6" spans="1:31" s="162" customFormat="1" ht="35.25" customHeight="1" x14ac:dyDescent="0.3">
      <c r="A6" s="160" t="s">
        <v>30</v>
      </c>
      <c r="B6" s="160" t="s">
        <v>128</v>
      </c>
      <c r="C6" s="172" t="s">
        <v>50</v>
      </c>
      <c r="D6" s="172" t="s">
        <v>48</v>
      </c>
      <c r="E6" s="173" t="s">
        <v>2</v>
      </c>
      <c r="F6" s="173" t="s">
        <v>3</v>
      </c>
      <c r="G6" s="160" t="s">
        <v>50</v>
      </c>
      <c r="H6" s="160" t="s">
        <v>48</v>
      </c>
      <c r="I6" s="161" t="s">
        <v>2</v>
      </c>
      <c r="J6" s="161" t="s">
        <v>3</v>
      </c>
      <c r="K6" s="172" t="s">
        <v>50</v>
      </c>
      <c r="L6" s="172" t="s">
        <v>48</v>
      </c>
      <c r="M6" s="173" t="s">
        <v>2</v>
      </c>
      <c r="N6" s="173" t="s">
        <v>3</v>
      </c>
      <c r="O6" s="160" t="s">
        <v>50</v>
      </c>
      <c r="P6" s="160" t="s">
        <v>48</v>
      </c>
      <c r="Q6" s="161" t="s">
        <v>2</v>
      </c>
      <c r="R6" s="161" t="s">
        <v>3</v>
      </c>
      <c r="S6" s="172" t="s">
        <v>50</v>
      </c>
      <c r="T6" s="172" t="s">
        <v>48</v>
      </c>
      <c r="U6" s="173" t="s">
        <v>2</v>
      </c>
      <c r="V6" s="173" t="s">
        <v>3</v>
      </c>
      <c r="W6" s="160" t="s">
        <v>50</v>
      </c>
      <c r="X6" s="160" t="s">
        <v>48</v>
      </c>
      <c r="Y6" s="161" t="s">
        <v>2</v>
      </c>
      <c r="Z6" s="161" t="s">
        <v>3</v>
      </c>
      <c r="AA6" s="172" t="s">
        <v>50</v>
      </c>
      <c r="AB6" s="172" t="s">
        <v>48</v>
      </c>
      <c r="AC6" s="173" t="s">
        <v>2</v>
      </c>
      <c r="AD6" s="173" t="s">
        <v>3</v>
      </c>
      <c r="AE6" s="160" t="s">
        <v>33</v>
      </c>
    </row>
    <row r="7" spans="1:31" ht="20.25" customHeight="1" x14ac:dyDescent="0.3">
      <c r="A7" s="106">
        <v>1</v>
      </c>
      <c r="B7" s="138"/>
      <c r="C7" s="165"/>
      <c r="D7" s="165"/>
      <c r="E7" s="166"/>
      <c r="F7" s="166"/>
      <c r="G7" s="97"/>
      <c r="H7" s="97"/>
      <c r="I7" s="98"/>
      <c r="J7" s="98"/>
      <c r="K7" s="165"/>
      <c r="L7" s="165"/>
      <c r="M7" s="166"/>
      <c r="N7" s="166"/>
      <c r="O7" s="97"/>
      <c r="P7" s="97"/>
      <c r="Q7" s="152"/>
      <c r="R7" s="152"/>
      <c r="S7" s="165"/>
      <c r="T7" s="165"/>
      <c r="U7" s="166"/>
      <c r="V7" s="166"/>
      <c r="W7" s="153"/>
      <c r="X7" s="153"/>
      <c r="Y7" s="98"/>
      <c r="Z7" s="98"/>
      <c r="AA7" s="165"/>
      <c r="AB7" s="165"/>
      <c r="AC7" s="166"/>
      <c r="AD7" s="166"/>
      <c r="AE7" s="141"/>
    </row>
    <row r="8" spans="1:31" ht="20.25" customHeight="1" x14ac:dyDescent="0.3">
      <c r="A8" s="106">
        <v>2</v>
      </c>
      <c r="B8" s="138"/>
      <c r="C8" s="165"/>
      <c r="D8" s="165"/>
      <c r="E8" s="166"/>
      <c r="F8" s="166"/>
      <c r="G8" s="97"/>
      <c r="H8" s="97"/>
      <c r="I8" s="98"/>
      <c r="J8" s="98"/>
      <c r="K8" s="165"/>
      <c r="L8" s="165"/>
      <c r="M8" s="166"/>
      <c r="N8" s="166"/>
      <c r="O8" s="97"/>
      <c r="P8" s="97"/>
      <c r="Q8" s="152"/>
      <c r="R8" s="152"/>
      <c r="S8" s="165"/>
      <c r="T8" s="165"/>
      <c r="U8" s="166"/>
      <c r="V8" s="166"/>
      <c r="W8" s="153"/>
      <c r="X8" s="153"/>
      <c r="Y8" s="98"/>
      <c r="Z8" s="98"/>
      <c r="AA8" s="165"/>
      <c r="AB8" s="165"/>
      <c r="AC8" s="166"/>
      <c r="AD8" s="166"/>
      <c r="AE8" s="141"/>
    </row>
    <row r="9" spans="1:31" ht="20.25" customHeight="1" x14ac:dyDescent="0.3">
      <c r="A9" s="106">
        <v>3</v>
      </c>
      <c r="B9" s="138"/>
      <c r="C9" s="165"/>
      <c r="D9" s="165"/>
      <c r="E9" s="166"/>
      <c r="F9" s="166"/>
      <c r="G9" s="97"/>
      <c r="H9" s="97"/>
      <c r="I9" s="98"/>
      <c r="J9" s="98"/>
      <c r="K9" s="165"/>
      <c r="L9" s="165"/>
      <c r="M9" s="166"/>
      <c r="N9" s="166"/>
      <c r="O9" s="97"/>
      <c r="P9" s="97"/>
      <c r="Q9" s="152"/>
      <c r="R9" s="152"/>
      <c r="S9" s="165"/>
      <c r="T9" s="165"/>
      <c r="U9" s="166"/>
      <c r="V9" s="166"/>
      <c r="W9" s="153"/>
      <c r="X9" s="153"/>
      <c r="Y9" s="98"/>
      <c r="Z9" s="98"/>
      <c r="AA9" s="165"/>
      <c r="AB9" s="165"/>
      <c r="AC9" s="166"/>
      <c r="AD9" s="166"/>
      <c r="AE9" s="141"/>
    </row>
    <row r="10" spans="1:31" ht="20.25" customHeight="1" x14ac:dyDescent="0.3">
      <c r="A10" s="106">
        <v>4</v>
      </c>
      <c r="B10" s="138"/>
      <c r="C10" s="168"/>
      <c r="D10" s="168"/>
      <c r="E10" s="166"/>
      <c r="F10" s="166"/>
      <c r="G10" s="97"/>
      <c r="H10" s="97"/>
      <c r="I10" s="98"/>
      <c r="J10" s="98"/>
      <c r="K10" s="168"/>
      <c r="L10" s="168"/>
      <c r="M10" s="166"/>
      <c r="N10" s="166"/>
      <c r="O10" s="97"/>
      <c r="P10" s="97"/>
      <c r="Q10" s="152"/>
      <c r="R10" s="152"/>
      <c r="S10" s="168"/>
      <c r="T10" s="168"/>
      <c r="U10" s="166"/>
      <c r="V10" s="166"/>
      <c r="W10" s="153"/>
      <c r="X10" s="153"/>
      <c r="Y10" s="98"/>
      <c r="Z10" s="98"/>
      <c r="AA10" s="168"/>
      <c r="AB10" s="168"/>
      <c r="AC10" s="166"/>
      <c r="AD10" s="166"/>
      <c r="AE10" s="141"/>
    </row>
    <row r="11" spans="1:31" ht="20.25" customHeight="1" x14ac:dyDescent="0.3">
      <c r="A11" s="106">
        <v>5</v>
      </c>
      <c r="B11" s="138"/>
      <c r="C11" s="168"/>
      <c r="D11" s="168"/>
      <c r="E11" s="166"/>
      <c r="F11" s="166"/>
      <c r="G11" s="97"/>
      <c r="H11" s="97"/>
      <c r="I11" s="98"/>
      <c r="J11" s="98"/>
      <c r="K11" s="168"/>
      <c r="L11" s="168"/>
      <c r="M11" s="166"/>
      <c r="N11" s="166"/>
      <c r="O11" s="97"/>
      <c r="P11" s="97"/>
      <c r="Q11" s="152"/>
      <c r="R11" s="152"/>
      <c r="S11" s="168"/>
      <c r="T11" s="168"/>
      <c r="U11" s="166"/>
      <c r="V11" s="166"/>
      <c r="W11" s="153"/>
      <c r="X11" s="153"/>
      <c r="Y11" s="98"/>
      <c r="Z11" s="98"/>
      <c r="AA11" s="168"/>
      <c r="AB11" s="168"/>
      <c r="AC11" s="166"/>
      <c r="AD11" s="166"/>
      <c r="AE11" s="141"/>
    </row>
    <row r="12" spans="1:31" ht="20.25" customHeight="1" x14ac:dyDescent="0.3">
      <c r="A12" s="106">
        <v>6</v>
      </c>
      <c r="B12" s="138"/>
      <c r="C12" s="168"/>
      <c r="D12" s="168"/>
      <c r="E12" s="166"/>
      <c r="F12" s="166"/>
      <c r="G12" s="97"/>
      <c r="H12" s="97"/>
      <c r="I12" s="98"/>
      <c r="J12" s="98"/>
      <c r="K12" s="168"/>
      <c r="L12" s="168"/>
      <c r="M12" s="166"/>
      <c r="N12" s="166"/>
      <c r="O12" s="97"/>
      <c r="P12" s="97"/>
      <c r="Q12" s="152"/>
      <c r="R12" s="152"/>
      <c r="S12" s="168"/>
      <c r="T12" s="168"/>
      <c r="U12" s="166"/>
      <c r="V12" s="166"/>
      <c r="W12" s="153"/>
      <c r="X12" s="153"/>
      <c r="Y12" s="98"/>
      <c r="Z12" s="98"/>
      <c r="AA12" s="168"/>
      <c r="AB12" s="168"/>
      <c r="AC12" s="166"/>
      <c r="AD12" s="166"/>
      <c r="AE12" s="141"/>
    </row>
    <row r="13" spans="1:31" ht="20.25" customHeight="1" x14ac:dyDescent="0.3">
      <c r="A13" s="106">
        <v>7</v>
      </c>
      <c r="B13" s="138"/>
      <c r="C13" s="168"/>
      <c r="D13" s="168"/>
      <c r="E13" s="166"/>
      <c r="F13" s="166"/>
      <c r="G13" s="97"/>
      <c r="H13" s="97"/>
      <c r="I13" s="98"/>
      <c r="J13" s="98"/>
      <c r="K13" s="168"/>
      <c r="L13" s="168"/>
      <c r="M13" s="166"/>
      <c r="N13" s="166"/>
      <c r="O13" s="97"/>
      <c r="P13" s="97"/>
      <c r="Q13" s="152"/>
      <c r="R13" s="152"/>
      <c r="S13" s="168"/>
      <c r="T13" s="168"/>
      <c r="U13" s="166"/>
      <c r="V13" s="166"/>
      <c r="W13" s="153"/>
      <c r="X13" s="153"/>
      <c r="Y13" s="98"/>
      <c r="Z13" s="98"/>
      <c r="AA13" s="168"/>
      <c r="AB13" s="168"/>
      <c r="AC13" s="166"/>
      <c r="AD13" s="166"/>
      <c r="AE13" s="141"/>
    </row>
    <row r="14" spans="1:31" ht="20.25" customHeight="1" x14ac:dyDescent="0.3">
      <c r="A14" s="106">
        <v>8</v>
      </c>
      <c r="B14" s="138"/>
      <c r="C14" s="168"/>
      <c r="D14" s="168"/>
      <c r="E14" s="166"/>
      <c r="F14" s="166"/>
      <c r="G14" s="97"/>
      <c r="H14" s="97"/>
      <c r="I14" s="98"/>
      <c r="J14" s="98"/>
      <c r="K14" s="168"/>
      <c r="L14" s="168"/>
      <c r="M14" s="166"/>
      <c r="N14" s="166"/>
      <c r="O14" s="97"/>
      <c r="P14" s="97"/>
      <c r="Q14" s="152"/>
      <c r="R14" s="152"/>
      <c r="S14" s="168"/>
      <c r="T14" s="168"/>
      <c r="U14" s="166"/>
      <c r="V14" s="166"/>
      <c r="W14" s="153"/>
      <c r="X14" s="153"/>
      <c r="Y14" s="98"/>
      <c r="Z14" s="98"/>
      <c r="AA14" s="168"/>
      <c r="AB14" s="168"/>
      <c r="AC14" s="166"/>
      <c r="AD14" s="166"/>
      <c r="AE14" s="141"/>
    </row>
    <row r="15" spans="1:31" ht="20.25" customHeight="1" x14ac:dyDescent="0.3">
      <c r="A15" s="106">
        <v>9</v>
      </c>
      <c r="B15" s="138"/>
      <c r="C15" s="168"/>
      <c r="D15" s="168"/>
      <c r="E15" s="166"/>
      <c r="F15" s="166"/>
      <c r="G15" s="97"/>
      <c r="H15" s="97"/>
      <c r="I15" s="98"/>
      <c r="J15" s="98"/>
      <c r="K15" s="168"/>
      <c r="L15" s="168"/>
      <c r="M15" s="166"/>
      <c r="N15" s="166"/>
      <c r="O15" s="97"/>
      <c r="P15" s="97"/>
      <c r="Q15" s="152"/>
      <c r="R15" s="152"/>
      <c r="S15" s="168"/>
      <c r="T15" s="168"/>
      <c r="U15" s="166"/>
      <c r="V15" s="166"/>
      <c r="W15" s="153"/>
      <c r="X15" s="153"/>
      <c r="Y15" s="98"/>
      <c r="Z15" s="98"/>
      <c r="AA15" s="168"/>
      <c r="AB15" s="168"/>
      <c r="AC15" s="166"/>
      <c r="AD15" s="166"/>
      <c r="AE15" s="141"/>
    </row>
    <row r="16" spans="1:31" ht="20.25" customHeight="1" x14ac:dyDescent="0.3">
      <c r="A16" s="106">
        <v>10</v>
      </c>
      <c r="B16" s="138"/>
      <c r="C16" s="168"/>
      <c r="D16" s="168"/>
      <c r="E16" s="166"/>
      <c r="F16" s="166"/>
      <c r="G16" s="97"/>
      <c r="H16" s="97"/>
      <c r="I16" s="98"/>
      <c r="J16" s="98"/>
      <c r="K16" s="168"/>
      <c r="L16" s="168"/>
      <c r="M16" s="166"/>
      <c r="N16" s="166"/>
      <c r="O16" s="97"/>
      <c r="P16" s="97"/>
      <c r="Q16" s="152"/>
      <c r="R16" s="152"/>
      <c r="S16" s="168"/>
      <c r="T16" s="168"/>
      <c r="U16" s="166"/>
      <c r="V16" s="166"/>
      <c r="W16" s="153"/>
      <c r="X16" s="153"/>
      <c r="Y16" s="98"/>
      <c r="Z16" s="98"/>
      <c r="AA16" s="168"/>
      <c r="AB16" s="168"/>
      <c r="AC16" s="166"/>
      <c r="AD16" s="166"/>
      <c r="AE16" s="141"/>
    </row>
    <row r="17" spans="1:31" ht="20.25" customHeight="1" x14ac:dyDescent="0.3">
      <c r="A17" s="106">
        <v>11</v>
      </c>
      <c r="B17" s="138"/>
      <c r="C17" s="168"/>
      <c r="D17" s="168"/>
      <c r="E17" s="166"/>
      <c r="F17" s="166"/>
      <c r="G17" s="97"/>
      <c r="H17" s="97"/>
      <c r="I17" s="98"/>
      <c r="J17" s="98"/>
      <c r="K17" s="168"/>
      <c r="L17" s="168"/>
      <c r="M17" s="166"/>
      <c r="N17" s="166"/>
      <c r="O17" s="97"/>
      <c r="P17" s="97"/>
      <c r="Q17" s="152"/>
      <c r="R17" s="152"/>
      <c r="S17" s="168"/>
      <c r="T17" s="168"/>
      <c r="U17" s="166"/>
      <c r="V17" s="166"/>
      <c r="W17" s="153"/>
      <c r="X17" s="153"/>
      <c r="Y17" s="98"/>
      <c r="Z17" s="98"/>
      <c r="AA17" s="168"/>
      <c r="AB17" s="168"/>
      <c r="AC17" s="166"/>
      <c r="AD17" s="166"/>
      <c r="AE17" s="141"/>
    </row>
    <row r="18" spans="1:31" ht="20.25" customHeight="1" x14ac:dyDescent="0.3">
      <c r="A18" s="106">
        <v>12</v>
      </c>
      <c r="B18" s="138"/>
      <c r="C18" s="168"/>
      <c r="D18" s="168"/>
      <c r="E18" s="166"/>
      <c r="F18" s="166"/>
      <c r="G18" s="97"/>
      <c r="H18" s="97"/>
      <c r="I18" s="98"/>
      <c r="J18" s="98"/>
      <c r="K18" s="168"/>
      <c r="L18" s="168"/>
      <c r="M18" s="166"/>
      <c r="N18" s="166"/>
      <c r="O18" s="97"/>
      <c r="P18" s="97"/>
      <c r="Q18" s="152"/>
      <c r="R18" s="152"/>
      <c r="S18" s="168"/>
      <c r="T18" s="168"/>
      <c r="U18" s="166"/>
      <c r="V18" s="166"/>
      <c r="W18" s="153"/>
      <c r="X18" s="153"/>
      <c r="Y18" s="98"/>
      <c r="Z18" s="98"/>
      <c r="AA18" s="168"/>
      <c r="AB18" s="168"/>
      <c r="AC18" s="166"/>
      <c r="AD18" s="166"/>
      <c r="AE18" s="141"/>
    </row>
    <row r="19" spans="1:31" ht="20.25" customHeight="1" x14ac:dyDescent="0.3">
      <c r="A19" s="106">
        <v>13</v>
      </c>
      <c r="B19" s="138"/>
      <c r="C19" s="168"/>
      <c r="D19" s="168"/>
      <c r="E19" s="166"/>
      <c r="F19" s="166"/>
      <c r="G19" s="97"/>
      <c r="H19" s="97"/>
      <c r="I19" s="98"/>
      <c r="J19" s="98"/>
      <c r="K19" s="168"/>
      <c r="L19" s="168"/>
      <c r="M19" s="166"/>
      <c r="N19" s="166"/>
      <c r="O19" s="97"/>
      <c r="P19" s="97"/>
      <c r="Q19" s="152"/>
      <c r="R19" s="152"/>
      <c r="S19" s="168"/>
      <c r="T19" s="168"/>
      <c r="U19" s="166"/>
      <c r="V19" s="166"/>
      <c r="W19" s="153"/>
      <c r="X19" s="153"/>
      <c r="Y19" s="98"/>
      <c r="Z19" s="98"/>
      <c r="AA19" s="168"/>
      <c r="AB19" s="168"/>
      <c r="AC19" s="166"/>
      <c r="AD19" s="166"/>
      <c r="AE19" s="141"/>
    </row>
    <row r="20" spans="1:31" ht="20.25" customHeight="1" x14ac:dyDescent="0.3">
      <c r="A20" s="106">
        <v>14</v>
      </c>
      <c r="B20" s="138"/>
      <c r="C20" s="168"/>
      <c r="D20" s="168"/>
      <c r="E20" s="166"/>
      <c r="F20" s="166"/>
      <c r="G20" s="97"/>
      <c r="H20" s="97"/>
      <c r="I20" s="98"/>
      <c r="J20" s="98"/>
      <c r="K20" s="168"/>
      <c r="L20" s="168"/>
      <c r="M20" s="166"/>
      <c r="N20" s="166"/>
      <c r="O20" s="97"/>
      <c r="P20" s="97"/>
      <c r="Q20" s="152"/>
      <c r="R20" s="152"/>
      <c r="S20" s="168"/>
      <c r="T20" s="168"/>
      <c r="U20" s="166"/>
      <c r="V20" s="166"/>
      <c r="W20" s="153"/>
      <c r="X20" s="153"/>
      <c r="Y20" s="98"/>
      <c r="Z20" s="98"/>
      <c r="AA20" s="168"/>
      <c r="AB20" s="168"/>
      <c r="AC20" s="166"/>
      <c r="AD20" s="166"/>
      <c r="AE20" s="141"/>
    </row>
    <row r="21" spans="1:31" x14ac:dyDescent="0.3">
      <c r="A21" s="137"/>
      <c r="E21" s="163"/>
      <c r="M21" s="163"/>
      <c r="U21" s="163"/>
      <c r="AC21" s="163"/>
    </row>
    <row r="22" spans="1:31" x14ac:dyDescent="0.3">
      <c r="A22" s="137"/>
    </row>
    <row r="23" spans="1:31" x14ac:dyDescent="0.3">
      <c r="A23" s="137"/>
    </row>
    <row r="24" spans="1:31" x14ac:dyDescent="0.3">
      <c r="A24" s="137"/>
    </row>
    <row r="25" spans="1:31" x14ac:dyDescent="0.3">
      <c r="A25" s="137"/>
    </row>
    <row r="26" spans="1:31" x14ac:dyDescent="0.3">
      <c r="A26" s="137"/>
    </row>
    <row r="27" spans="1:31" x14ac:dyDescent="0.3">
      <c r="A27" s="137"/>
    </row>
    <row r="28" spans="1:31" x14ac:dyDescent="0.3">
      <c r="A28" s="137"/>
    </row>
    <row r="29" spans="1:31" x14ac:dyDescent="0.3">
      <c r="A29" s="137"/>
    </row>
  </sheetData>
  <mergeCells count="3">
    <mergeCell ref="A2:AC2"/>
    <mergeCell ref="A3:AC3"/>
    <mergeCell ref="A4:AC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16"/>
  <sheetViews>
    <sheetView topLeftCell="A16" zoomScale="80" zoomScaleNormal="80" workbookViewId="0">
      <selection activeCell="B16" sqref="B16"/>
    </sheetView>
  </sheetViews>
  <sheetFormatPr baseColWidth="10" defaultRowHeight="14.4" x14ac:dyDescent="0.3"/>
  <cols>
    <col min="2" max="2" width="15.5546875" customWidth="1"/>
    <col min="3" max="3" width="45.109375" customWidth="1"/>
    <col min="4" max="4" width="28.6640625" customWidth="1"/>
  </cols>
  <sheetData>
    <row r="2" spans="2:4" ht="15" thickBot="1" x14ac:dyDescent="0.35"/>
    <row r="3" spans="2:4" ht="27" thickBot="1" x14ac:dyDescent="0.35">
      <c r="B3" s="78">
        <v>1</v>
      </c>
      <c r="C3" s="82" t="s">
        <v>115</v>
      </c>
      <c r="D3" s="82" t="s">
        <v>140</v>
      </c>
    </row>
    <row r="4" spans="2:4" ht="53.4" thickBot="1" x14ac:dyDescent="0.35">
      <c r="B4" s="78">
        <v>2</v>
      </c>
      <c r="C4" s="78" t="s">
        <v>141</v>
      </c>
      <c r="D4" s="78" t="s">
        <v>142</v>
      </c>
    </row>
    <row r="5" spans="2:4" ht="27" thickBot="1" x14ac:dyDescent="0.35">
      <c r="B5" s="78">
        <v>3</v>
      </c>
      <c r="C5" s="83">
        <v>39331.440972222219</v>
      </c>
      <c r="D5" s="83">
        <v>39331.645833333336</v>
      </c>
    </row>
    <row r="6" spans="2:4" ht="53.4" thickBot="1" x14ac:dyDescent="0.35">
      <c r="B6" s="79"/>
      <c r="C6" s="78" t="s">
        <v>143</v>
      </c>
      <c r="D6" s="78" t="s">
        <v>144</v>
      </c>
    </row>
    <row r="7" spans="2:4" ht="171.75" customHeight="1" thickBot="1" x14ac:dyDescent="0.35">
      <c r="B7" s="80" t="s">
        <v>138</v>
      </c>
      <c r="C7" s="84">
        <f>B2-A2</f>
        <v>0</v>
      </c>
      <c r="D7" s="84" t="s">
        <v>145</v>
      </c>
    </row>
    <row r="8" spans="2:4" ht="204" customHeight="1" thickBot="1" x14ac:dyDescent="0.35">
      <c r="B8" s="79"/>
      <c r="C8" s="84">
        <f>B2-A2</f>
        <v>0</v>
      </c>
      <c r="D8" s="84" t="s">
        <v>146</v>
      </c>
    </row>
    <row r="9" spans="2:4" ht="252" customHeight="1" thickBot="1" x14ac:dyDescent="0.35">
      <c r="B9" s="80">
        <v>4</v>
      </c>
      <c r="C9" s="84">
        <f>B2-A2</f>
        <v>0</v>
      </c>
      <c r="D9" s="84" t="s">
        <v>147</v>
      </c>
    </row>
    <row r="10" spans="2:4" ht="159.75" customHeight="1" thickBot="1" x14ac:dyDescent="0.35">
      <c r="B10" s="79"/>
      <c r="C10" s="84" t="s">
        <v>148</v>
      </c>
      <c r="D10" s="84" t="s">
        <v>149</v>
      </c>
    </row>
    <row r="11" spans="2:4" ht="161.25" customHeight="1" thickBot="1" x14ac:dyDescent="0.35">
      <c r="B11" s="80">
        <v>6</v>
      </c>
      <c r="C11" s="84" t="s">
        <v>150</v>
      </c>
      <c r="D11" s="84" t="s">
        <v>151</v>
      </c>
    </row>
    <row r="12" spans="2:4" ht="162.75" customHeight="1" thickBot="1" x14ac:dyDescent="0.35">
      <c r="B12" s="78">
        <v>7</v>
      </c>
      <c r="C12" s="84" t="s">
        <v>152</v>
      </c>
      <c r="D12" s="84" t="s">
        <v>153</v>
      </c>
    </row>
    <row r="13" spans="2:4" x14ac:dyDescent="0.3">
      <c r="B13" s="79"/>
      <c r="C13" s="118"/>
      <c r="D13" s="118"/>
    </row>
    <row r="14" spans="2:4" ht="27" thickBot="1" x14ac:dyDescent="0.35">
      <c r="B14" s="80" t="s">
        <v>139</v>
      </c>
      <c r="C14" s="119"/>
      <c r="D14" s="119"/>
    </row>
    <row r="15" spans="2:4" x14ac:dyDescent="0.3">
      <c r="B15" s="79"/>
      <c r="C15" s="119"/>
      <c r="D15" s="119"/>
    </row>
    <row r="16" spans="2:4" ht="27" thickBot="1" x14ac:dyDescent="0.35">
      <c r="B16" s="81">
        <v>99999</v>
      </c>
      <c r="C16" s="120"/>
      <c r="D16" s="120"/>
    </row>
  </sheetData>
  <mergeCells count="4">
    <mergeCell ref="C13:D13"/>
    <mergeCell ref="C14:D14"/>
    <mergeCell ref="C15:D15"/>
    <mergeCell ref="C16:D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2</vt:i4>
      </vt:variant>
    </vt:vector>
  </HeadingPairs>
  <TitlesOfParts>
    <vt:vector size="10" baseType="lpstr">
      <vt:lpstr>LABORES</vt:lpstr>
      <vt:lpstr>PLANILLA Y CUADRILLA</vt:lpstr>
      <vt:lpstr>Mujeres</vt:lpstr>
      <vt:lpstr>Hombres</vt:lpstr>
      <vt:lpstr>Hoja1</vt:lpstr>
      <vt:lpstr>REGADORES</vt:lpstr>
      <vt:lpstr>CUADRILLA</vt:lpstr>
      <vt:lpstr>Hoja2</vt:lpstr>
      <vt:lpstr>Hombres!Área_de_impresión</vt:lpstr>
      <vt:lpstr>Mujeres!Área_de_impresión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Benjamin Quispe Ramos</cp:lastModifiedBy>
  <cp:lastPrinted>2017-11-22T21:15:57Z</cp:lastPrinted>
  <dcterms:created xsi:type="dcterms:W3CDTF">2016-04-21T15:31:40Z</dcterms:created>
  <dcterms:modified xsi:type="dcterms:W3CDTF">2026-10-02T22:41:41Z</dcterms:modified>
</cp:coreProperties>
</file>